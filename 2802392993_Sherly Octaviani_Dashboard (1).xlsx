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erly\Downloads\"/>
    </mc:Choice>
  </mc:AlternateContent>
  <xr:revisionPtr revIDLastSave="0" documentId="8_{9F20B488-918A-4C2B-BB88-1981C6CB7407}" xr6:coauthVersionLast="47" xr6:coauthVersionMax="47" xr10:uidLastSave="{00000000-0000-0000-0000-000000000000}"/>
  <bookViews>
    <workbookView xWindow="-110" yWindow="-110" windowWidth="19420" windowHeight="11500" activeTab="2" xr2:uid="{00000000-000D-0000-FFFF-FFFF00000000}"/>
  </bookViews>
  <sheets>
    <sheet name="Data_Prestasi" sheetId="1" r:id="rId1"/>
    <sheet name="Pivot_Workspace" sheetId="2" r:id="rId2"/>
    <sheet name="Dashboard" sheetId="3" r:id="rId3"/>
  </sheets>
  <definedNames>
    <definedName name="Slicer_Program_Studi">#N/A</definedName>
    <definedName name="Slicer_Tingkat_Kompetisi">#N/A</definedName>
    <definedName name="Slicer_Wilayah_Asal">#N/A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alcChain>
</file>

<file path=xl/sharedStrings.xml><?xml version="1.0" encoding="utf-8"?>
<sst xmlns="http://schemas.openxmlformats.org/spreadsheetml/2006/main" count="837" uniqueCount="239">
  <si>
    <t>NIM</t>
  </si>
  <si>
    <t>Nama_Mahasiswa</t>
  </si>
  <si>
    <t>Wilayah_Asal</t>
  </si>
  <si>
    <t>Jenis_Kelamin</t>
  </si>
  <si>
    <t>Tingkat_Pendidikan</t>
  </si>
  <si>
    <t>Program_Studi</t>
  </si>
  <si>
    <t>Kategori_Prestasi</t>
  </si>
  <si>
    <t>Tingkat_Kompetisi</t>
  </si>
  <si>
    <t>Poin_Prestasi</t>
  </si>
  <si>
    <t>26018001</t>
  </si>
  <si>
    <t>Mahasiswa 1</t>
  </si>
  <si>
    <t>Jawa Timur</t>
  </si>
  <si>
    <t>Laki-laki</t>
  </si>
  <si>
    <t>S1 Internasional</t>
  </si>
  <si>
    <t>Manajemen Bisnis</t>
  </si>
  <si>
    <t>Non-Akademik (Olahraga)</t>
  </si>
  <si>
    <t>Nasional</t>
  </si>
  <si>
    <t>26018002</t>
  </si>
  <si>
    <t>Mahasiswa 2</t>
  </si>
  <si>
    <t>Sistem Informasi</t>
  </si>
  <si>
    <t>Inovasi &amp; Teknologi</t>
  </si>
  <si>
    <t>26018003</t>
  </si>
  <si>
    <t>Mahasiswa 3</t>
  </si>
  <si>
    <t>Sulawesi Selatan</t>
  </si>
  <si>
    <t>S1 Reguler</t>
  </si>
  <si>
    <t>Akademik (Karya Ilmiah)</t>
  </si>
  <si>
    <t>Internasional</t>
  </si>
  <si>
    <t>26018004</t>
  </si>
  <si>
    <t>Mahasiswa 4</t>
  </si>
  <si>
    <t>Sumatera Utara</t>
  </si>
  <si>
    <t>Teknik Informatika</t>
  </si>
  <si>
    <t>Wilayah/Provinsi</t>
  </si>
  <si>
    <t>26018005</t>
  </si>
  <si>
    <t>Mahasiswa 5</t>
  </si>
  <si>
    <t>Jawa Tengah</t>
  </si>
  <si>
    <t>26018006</t>
  </si>
  <si>
    <t>Mahasiswa 6</t>
  </si>
  <si>
    <t>Jawa Barat</t>
  </si>
  <si>
    <t>Desain Komunikasi Visual</t>
  </si>
  <si>
    <t>26018007</t>
  </si>
  <si>
    <t>Mahasiswa 7</t>
  </si>
  <si>
    <t>Perempuan</t>
  </si>
  <si>
    <t>26018008</t>
  </si>
  <si>
    <t>Mahasiswa 8</t>
  </si>
  <si>
    <t>DKI Jakarta</t>
  </si>
  <si>
    <t>26018009</t>
  </si>
  <si>
    <t>Mahasiswa 9</t>
  </si>
  <si>
    <t>26018010</t>
  </si>
  <si>
    <t>Mahasiswa 10</t>
  </si>
  <si>
    <t>26018011</t>
  </si>
  <si>
    <t>Mahasiswa 11</t>
  </si>
  <si>
    <t>Akuntansi</t>
  </si>
  <si>
    <t>Seni &amp; Budaya</t>
  </si>
  <si>
    <t>26018012</t>
  </si>
  <si>
    <t>Mahasiswa 12</t>
  </si>
  <si>
    <t>26018013</t>
  </si>
  <si>
    <t>Mahasiswa 13</t>
  </si>
  <si>
    <t>26018014</t>
  </si>
  <si>
    <t>Mahasiswa 14</t>
  </si>
  <si>
    <t>26018015</t>
  </si>
  <si>
    <t>Mahasiswa 15</t>
  </si>
  <si>
    <t>26018016</t>
  </si>
  <si>
    <t>Mahasiswa 16</t>
  </si>
  <si>
    <t>26018017</t>
  </si>
  <si>
    <t>Mahasiswa 17</t>
  </si>
  <si>
    <t>Wirausaha Muda</t>
  </si>
  <si>
    <t>26018018</t>
  </si>
  <si>
    <t>Mahasiswa 18</t>
  </si>
  <si>
    <t>26018019</t>
  </si>
  <si>
    <t>Mahasiswa 19</t>
  </si>
  <si>
    <t>26018020</t>
  </si>
  <si>
    <t>Mahasiswa 20</t>
  </si>
  <si>
    <t>26018021</t>
  </si>
  <si>
    <t>Mahasiswa 21</t>
  </si>
  <si>
    <t>26018022</t>
  </si>
  <si>
    <t>Mahasiswa 22</t>
  </si>
  <si>
    <t>26018023</t>
  </si>
  <si>
    <t>Mahasiswa 23</t>
  </si>
  <si>
    <t>26018024</t>
  </si>
  <si>
    <t>Mahasiswa 24</t>
  </si>
  <si>
    <t>26018025</t>
  </si>
  <si>
    <t>Mahasiswa 25</t>
  </si>
  <si>
    <t>26018026</t>
  </si>
  <si>
    <t>Mahasiswa 26</t>
  </si>
  <si>
    <t>26018027</t>
  </si>
  <si>
    <t>Mahasiswa 27</t>
  </si>
  <si>
    <t>26018028</t>
  </si>
  <si>
    <t>Mahasiswa 28</t>
  </si>
  <si>
    <t>26018029</t>
  </si>
  <si>
    <t>Mahasiswa 29</t>
  </si>
  <si>
    <t>26018030</t>
  </si>
  <si>
    <t>Mahasiswa 30</t>
  </si>
  <si>
    <t>26018031</t>
  </si>
  <si>
    <t>Mahasiswa 31</t>
  </si>
  <si>
    <t>Kalimantan Timur</t>
  </si>
  <si>
    <t>26018032</t>
  </si>
  <si>
    <t>Mahasiswa 32</t>
  </si>
  <si>
    <t>26018033</t>
  </si>
  <si>
    <t>Mahasiswa 33</t>
  </si>
  <si>
    <t>26018034</t>
  </si>
  <si>
    <t>Mahasiswa 34</t>
  </si>
  <si>
    <t>26018035</t>
  </si>
  <si>
    <t>Mahasiswa 35</t>
  </si>
  <si>
    <t>26018036</t>
  </si>
  <si>
    <t>Mahasiswa 36</t>
  </si>
  <si>
    <t>26018037</t>
  </si>
  <si>
    <t>Mahasiswa 37</t>
  </si>
  <si>
    <t>26018038</t>
  </si>
  <si>
    <t>Mahasiswa 38</t>
  </si>
  <si>
    <t>26018039</t>
  </si>
  <si>
    <t>Mahasiswa 39</t>
  </si>
  <si>
    <t>26018040</t>
  </si>
  <si>
    <t>Mahasiswa 40</t>
  </si>
  <si>
    <t>26018041</t>
  </si>
  <si>
    <t>Mahasiswa 41</t>
  </si>
  <si>
    <t>26018042</t>
  </si>
  <si>
    <t>Mahasiswa 42</t>
  </si>
  <si>
    <t>26018043</t>
  </si>
  <si>
    <t>Mahasiswa 43</t>
  </si>
  <si>
    <t>26018044</t>
  </si>
  <si>
    <t>Mahasiswa 44</t>
  </si>
  <si>
    <t>26018045</t>
  </si>
  <si>
    <t>Mahasiswa 45</t>
  </si>
  <si>
    <t>26018046</t>
  </si>
  <si>
    <t>Mahasiswa 46</t>
  </si>
  <si>
    <t>26018047</t>
  </si>
  <si>
    <t>Mahasiswa 47</t>
  </si>
  <si>
    <t>26018048</t>
  </si>
  <si>
    <t>Mahasiswa 48</t>
  </si>
  <si>
    <t>26018049</t>
  </si>
  <si>
    <t>Mahasiswa 49</t>
  </si>
  <si>
    <t>26018050</t>
  </si>
  <si>
    <t>Mahasiswa 50</t>
  </si>
  <si>
    <t>26018051</t>
  </si>
  <si>
    <t>Mahasiswa 51</t>
  </si>
  <si>
    <t>26018052</t>
  </si>
  <si>
    <t>Mahasiswa 52</t>
  </si>
  <si>
    <t>26018053</t>
  </si>
  <si>
    <t>Mahasiswa 53</t>
  </si>
  <si>
    <t>26018054</t>
  </si>
  <si>
    <t>Mahasiswa 54</t>
  </si>
  <si>
    <t>26018055</t>
  </si>
  <si>
    <t>Mahasiswa 55</t>
  </si>
  <si>
    <t>26018056</t>
  </si>
  <si>
    <t>Mahasiswa 56</t>
  </si>
  <si>
    <t>26018057</t>
  </si>
  <si>
    <t>Mahasiswa 57</t>
  </si>
  <si>
    <t>26018058</t>
  </si>
  <si>
    <t>Mahasiswa 58</t>
  </si>
  <si>
    <t>26018059</t>
  </si>
  <si>
    <t>Mahasiswa 59</t>
  </si>
  <si>
    <t>26018060</t>
  </si>
  <si>
    <t>Mahasiswa 60</t>
  </si>
  <si>
    <t>26018061</t>
  </si>
  <si>
    <t>Mahasiswa 61</t>
  </si>
  <si>
    <t>26018062</t>
  </si>
  <si>
    <t>Mahasiswa 62</t>
  </si>
  <si>
    <t>26018063</t>
  </si>
  <si>
    <t>Mahasiswa 63</t>
  </si>
  <si>
    <t>26018064</t>
  </si>
  <si>
    <t>Mahasiswa 64</t>
  </si>
  <si>
    <t>26018065</t>
  </si>
  <si>
    <t>Mahasiswa 65</t>
  </si>
  <si>
    <t>26018066</t>
  </si>
  <si>
    <t>Mahasiswa 66</t>
  </si>
  <si>
    <t>26018067</t>
  </si>
  <si>
    <t>Mahasiswa 67</t>
  </si>
  <si>
    <t>26018068</t>
  </si>
  <si>
    <t>Mahasiswa 68</t>
  </si>
  <si>
    <t>26018069</t>
  </si>
  <si>
    <t>Mahasiswa 69</t>
  </si>
  <si>
    <t>26018070</t>
  </si>
  <si>
    <t>Mahasiswa 70</t>
  </si>
  <si>
    <t>26018071</t>
  </si>
  <si>
    <t>Mahasiswa 71</t>
  </si>
  <si>
    <t>26018072</t>
  </si>
  <si>
    <t>Mahasiswa 72</t>
  </si>
  <si>
    <t>26018073</t>
  </si>
  <si>
    <t>Mahasiswa 73</t>
  </si>
  <si>
    <t>26018074</t>
  </si>
  <si>
    <t>Mahasiswa 74</t>
  </si>
  <si>
    <t>26018075</t>
  </si>
  <si>
    <t>Mahasiswa 75</t>
  </si>
  <si>
    <t>26018076</t>
  </si>
  <si>
    <t>Mahasiswa 76</t>
  </si>
  <si>
    <t>26018077</t>
  </si>
  <si>
    <t>Mahasiswa 77</t>
  </si>
  <si>
    <t>26018078</t>
  </si>
  <si>
    <t>Mahasiswa 78</t>
  </si>
  <si>
    <t>26018079</t>
  </si>
  <si>
    <t>Mahasiswa 79</t>
  </si>
  <si>
    <t>26018080</t>
  </si>
  <si>
    <t>Mahasiswa 80</t>
  </si>
  <si>
    <t>26018081</t>
  </si>
  <si>
    <t>Mahasiswa 81</t>
  </si>
  <si>
    <t>26018082</t>
  </si>
  <si>
    <t>Mahasiswa 82</t>
  </si>
  <si>
    <t>26018083</t>
  </si>
  <si>
    <t>Mahasiswa 83</t>
  </si>
  <si>
    <t>26018084</t>
  </si>
  <si>
    <t>Mahasiswa 84</t>
  </si>
  <si>
    <t>26018085</t>
  </si>
  <si>
    <t>Mahasiswa 85</t>
  </si>
  <si>
    <t>26018086</t>
  </si>
  <si>
    <t>Mahasiswa 86</t>
  </si>
  <si>
    <t>26018087</t>
  </si>
  <si>
    <t>Mahasiswa 87</t>
  </si>
  <si>
    <t>26018088</t>
  </si>
  <si>
    <t>Mahasiswa 88</t>
  </si>
  <si>
    <t>26018089</t>
  </si>
  <si>
    <t>Mahasiswa 89</t>
  </si>
  <si>
    <t>26018090</t>
  </si>
  <si>
    <t>Mahasiswa 90</t>
  </si>
  <si>
    <t>26018091</t>
  </si>
  <si>
    <t>Mahasiswa 91</t>
  </si>
  <si>
    <t>26018092</t>
  </si>
  <si>
    <t>Mahasiswa 92</t>
  </si>
  <si>
    <t>26018093</t>
  </si>
  <si>
    <t>Mahasiswa 93</t>
  </si>
  <si>
    <t>26018094</t>
  </si>
  <si>
    <t>Mahasiswa 94</t>
  </si>
  <si>
    <t>26018095</t>
  </si>
  <si>
    <t>Mahasiswa 95</t>
  </si>
  <si>
    <t>26018096</t>
  </si>
  <si>
    <t>Mahasiswa 96</t>
  </si>
  <si>
    <t>26018097</t>
  </si>
  <si>
    <t>Mahasiswa 97</t>
  </si>
  <si>
    <t>26018098</t>
  </si>
  <si>
    <t>Mahasiswa 98</t>
  </si>
  <si>
    <t>26018099</t>
  </si>
  <si>
    <t>Mahasiswa 99</t>
  </si>
  <si>
    <t>26018100</t>
  </si>
  <si>
    <t>Mahasiswa 100</t>
  </si>
  <si>
    <t>Row Labels</t>
  </si>
  <si>
    <t>Grand Total</t>
  </si>
  <si>
    <t>Sum of Poin_Prestasi</t>
  </si>
  <si>
    <t>Count of NIM</t>
  </si>
  <si>
    <t>DASHBOARD ANALISIS CAPAIAN PRESTASI MAHASISWA</t>
  </si>
  <si>
    <t xml:space="preserve">Sherly Octaviani - 2802392993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</si>
</sst>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Calibri"/>
      <family val="2"/>
      <scheme val="minor"/>
    </font>
    <font>
      <b/>
      <sz val="11"/>
      <color rgb="FFFFFFFF"/>
      <name val="Calibri"/>
      <family val="2"/>
    </font>
    <font>
      <sz val="11"/>
      <name val="Calibri"/>
      <family val="2"/>
    </font>
    <font>
      <sz val="11"/>
      <color theme="1"/>
      <name val="Calibri"/>
      <family val="2"/>
      <scheme val="minor"/>
    </font>
    <font>
      <b/>
      <sz val="22"/>
      <color theme="1"/>
      <name val="Calibri"/>
      <family val="2"/>
      <scheme val="minor"/>
    </font>
    <font>
      <b/>
      <sz val="22"/>
      <color theme="0"/>
      <name val="Bahnschrift SemiBold"/>
      <family val="2"/>
    </font>
    <font>
      <sz val="11"/>
      <color theme="2"/>
      <name val="Calibri"/>
      <family val="2"/>
      <scheme val="minor"/>
    </font>
    <font>
      <sz val="22"/>
      <color theme="0"/>
      <name val="Calibri"/>
      <family val="2"/>
      <scheme val="minor"/>
    </font>
  </fonts>
  <fills count="6">
    <fill>
      <patternFill patternType="none"/>
    </fill>
    <fill>
      <patternFill patternType="gray125"/>
    </fill>
    <fill>
      <patternFill patternType="solid">
        <fgColor rgb="FF005A5B"/>
        <bgColor rgb="FF005A5B"/>
      </patternFill>
    </fill>
    <fill>
      <patternFill patternType="solid">
        <fgColor rgb="FFF4F9F9"/>
        <bgColor rgb="FFF4F9F9"/>
      </patternFill>
    </fill>
    <fill>
      <patternFill patternType="solid">
        <fgColor theme="2"/>
        <bgColor indexed="64"/>
      </patternFill>
    </fill>
    <fill>
      <patternFill patternType="solid">
        <fgColor theme="5" tint="0.39997558519241921"/>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43" fontId="3" fillId="0" borderId="0" applyFont="0" applyFill="0" applyBorder="0" applyAlignment="0" applyProtection="0"/>
  </cellStyleXfs>
  <cellXfs count="2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xf>
    <xf numFmtId="0" fontId="2" fillId="3" borderId="1" xfId="0" applyFont="1" applyFill="1" applyBorder="1"/>
    <xf numFmtId="0" fontId="2" fillId="0" borderId="1" xfId="0" applyFont="1" applyBorder="1" applyAlignment="1">
      <alignment horizontal="center"/>
    </xf>
    <xf numFmtId="0" fontId="2" fillId="0" borderId="1" xfId="0" applyFont="1" applyBorder="1"/>
    <xf numFmtId="0" fontId="0" fillId="0" borderId="0" xfId="0" applyNumberFormat="1"/>
    <xf numFmtId="1" fontId="1" fillId="2" borderId="0" xfId="1" applyNumberFormat="1" applyFont="1" applyFill="1" applyAlignment="1">
      <alignment horizontal="center" vertical="center"/>
    </xf>
    <xf numFmtId="1" fontId="2" fillId="3" borderId="1" xfId="1" applyNumberFormat="1" applyFont="1" applyFill="1" applyBorder="1" applyAlignment="1">
      <alignment horizontal="right"/>
    </xf>
    <xf numFmtId="1" fontId="2" fillId="0" borderId="1" xfId="1" applyNumberFormat="1" applyFont="1" applyBorder="1" applyAlignment="1">
      <alignment horizontal="right"/>
    </xf>
    <xf numFmtId="1" fontId="0" fillId="0" borderId="0" xfId="1" applyNumberFormat="1" applyFont="1"/>
    <xf numFmtId="0" fontId="0" fillId="0" borderId="0" xfId="0" pivotButton="1"/>
    <xf numFmtId="0" fontId="0" fillId="0" borderId="0" xfId="0" applyAlignment="1">
      <alignment horizontal="left"/>
    </xf>
    <xf numFmtId="1" fontId="0" fillId="0" borderId="0" xfId="0" applyNumberFormat="1"/>
    <xf numFmtId="0" fontId="4" fillId="4" borderId="0" xfId="0" applyFont="1" applyFill="1" applyAlignment="1"/>
    <xf numFmtId="0" fontId="0" fillId="4" borderId="0" xfId="0" applyFill="1" applyAlignment="1"/>
    <xf numFmtId="0" fontId="0" fillId="4" borderId="0" xfId="0" applyFill="1"/>
    <xf numFmtId="0" fontId="5" fillId="5" borderId="0" xfId="0" applyFont="1" applyFill="1" applyBorder="1" applyAlignment="1">
      <alignment horizontal="center"/>
    </xf>
    <xf numFmtId="0" fontId="6" fillId="4" borderId="0" xfId="0" applyFont="1" applyFill="1"/>
    <xf numFmtId="0" fontId="7" fillId="5" borderId="0" xfId="0" applyFont="1" applyFill="1" applyAlignment="1">
      <alignment horizontal="center" vertical="center"/>
    </xf>
  </cellXfs>
  <cellStyles count="2">
    <cellStyle name="Comma" xfId="1" builtinId="3"/>
    <cellStyle name="Normal" xfId="0" builtinId="0"/>
  </cellStyles>
  <dxfs count="1">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[2802392993_Sherly Octaviani_Dashboard.xlsx]Pivot_Workspace!PivotTable1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Pivot_Workspace!$B$2</c:f>
              <c:strCache>
                <c:ptCount val="1"/>
                <c:pt idx="0">
                  <c:v>Total</c:v>
                </c:pt>
              </c:strCache>
            </c:strRef>
          </c:tx>
          <c:spPr>
            <a:solidFill>
              <a:schemeClr val="accent2"/>
            </a:solidFill>
            <a:ln>
              <a:noFill/>
            </a:ln>
            <a:effectLst/>
          </c:spPr>
          <c:invertIfNegative val="0"/>
          <c:cat>
            <c:strRef>
              <c:f>Pivot_Workspace!$A$3:$A$10</c:f>
              <c:strCache>
                <c:ptCount val="7"/>
                <c:pt idx="0">
                  <c:v>Jawa Timur</c:v>
                </c:pt>
                <c:pt idx="1">
                  <c:v>DKI Jakarta</c:v>
                </c:pt>
                <c:pt idx="2">
                  <c:v>Sumatera Utara</c:v>
                </c:pt>
                <c:pt idx="3">
                  <c:v>Jawa Barat</c:v>
                </c:pt>
                <c:pt idx="4">
                  <c:v>Jawa Tengah</c:v>
                </c:pt>
                <c:pt idx="5">
                  <c:v>Sulawesi Selatan</c:v>
                </c:pt>
                <c:pt idx="6">
                  <c:v>Kalimantan Timur</c:v>
                </c:pt>
              </c:strCache>
            </c:strRef>
          </c:cat>
          <c:val>
            <c:numRef>
              <c:f>Pivot_Workspace!$B$3:$B$10</c:f>
              <c:numCache>
                <c:formatCode>0</c:formatCode>
                <c:ptCount val="7"/>
                <c:pt idx="0">
                  <c:v>1128</c:v>
                </c:pt>
                <c:pt idx="1">
                  <c:v>899</c:v>
                </c:pt>
                <c:pt idx="2">
                  <c:v>871</c:v>
                </c:pt>
                <c:pt idx="3">
                  <c:v>708</c:v>
                </c:pt>
                <c:pt idx="4">
                  <c:v>677</c:v>
                </c:pt>
                <c:pt idx="5">
                  <c:v>476</c:v>
                </c:pt>
                <c:pt idx="6">
                  <c:v>364</c:v>
                </c:pt>
              </c:numCache>
            </c:numRef>
          </c:val>
          <c:extLst>
            <c:ext xmlns:c16="http://schemas.microsoft.com/office/drawing/2014/chart" uri="{C3380CC4-5D6E-409C-BE32-E72D297353CC}">
              <c16:uniqueId val="{00000000-18C6-4A1D-B9A9-45F4D2D9BCB0}"/>
            </c:ext>
          </c:extLst>
        </c:ser>
        <c:dLbls>
          <c:showLegendKey val="0"/>
          <c:showVal val="0"/>
          <c:showCatName val="0"/>
          <c:showSerName val="0"/>
          <c:showPercent val="0"/>
          <c:showBubbleSize val="0"/>
        </c:dLbls>
        <c:gapWidth val="219"/>
        <c:overlap val="-27"/>
        <c:axId val="209476655"/>
        <c:axId val="209477135"/>
      </c:barChart>
      <c:catAx>
        <c:axId val="20947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77135"/>
        <c:crosses val="autoZero"/>
        <c:auto val="1"/>
        <c:lblAlgn val="ctr"/>
        <c:lblOffset val="100"/>
        <c:noMultiLvlLbl val="0"/>
      </c:catAx>
      <c:valAx>
        <c:axId val="209477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7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[2802392993_Sherly Octaviani_Dashboard.xlsx]Pivot_Workspace!PivotTable2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s>
    <c:plotArea>
      <c:layout/>
      <c:pieChart>
        <c:varyColors val="1"/>
        <c:ser>
          <c:idx val="0"/>
          <c:order val="0"/>
          <c:tx>
            <c:strRef>
              <c:f>Pivot_Workspace!$B$12</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74A0-479B-9D65-E844F1D195B6}"/>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74A0-479B-9D65-E844F1D195B6}"/>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4A0-479B-9D65-E844F1D195B6}"/>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74A0-479B-9D65-E844F1D195B6}"/>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74A0-479B-9D65-E844F1D195B6}"/>
              </c:ext>
            </c:extLst>
          </c:dPt>
          <c:cat>
            <c:strRef>
              <c:f>Pivot_Workspace!$A$13:$A$18</c:f>
              <c:strCache>
                <c:ptCount val="5"/>
                <c:pt idx="0">
                  <c:v>Akademik (Karya Ilmiah)</c:v>
                </c:pt>
                <c:pt idx="1">
                  <c:v>Inovasi &amp; Teknologi</c:v>
                </c:pt>
                <c:pt idx="2">
                  <c:v>Non-Akademik (Olahraga)</c:v>
                </c:pt>
                <c:pt idx="3">
                  <c:v>Seni &amp; Budaya</c:v>
                </c:pt>
                <c:pt idx="4">
                  <c:v>Wirausaha Muda</c:v>
                </c:pt>
              </c:strCache>
            </c:strRef>
          </c:cat>
          <c:val>
            <c:numRef>
              <c:f>Pivot_Workspace!$B$13:$B$18</c:f>
              <c:numCache>
                <c:formatCode>General</c:formatCode>
                <c:ptCount val="5"/>
                <c:pt idx="0">
                  <c:v>18</c:v>
                </c:pt>
                <c:pt idx="1">
                  <c:v>21</c:v>
                </c:pt>
                <c:pt idx="2">
                  <c:v>21</c:v>
                </c:pt>
                <c:pt idx="3">
                  <c:v>23</c:v>
                </c:pt>
                <c:pt idx="4">
                  <c:v>17</c:v>
                </c:pt>
              </c:numCache>
            </c:numRef>
          </c:val>
          <c:extLst>
            <c:ext xmlns:c16="http://schemas.microsoft.com/office/drawing/2014/chart" uri="{C3380CC4-5D6E-409C-BE32-E72D297353CC}">
              <c16:uniqueId val="{0000000A-74A0-479B-9D65-E844F1D195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8141</xdr:colOff>
      <xdr:row>2</xdr:row>
      <xdr:rowOff>138398</xdr:rowOff>
    </xdr:from>
    <xdr:to>
      <xdr:col>16</xdr:col>
      <xdr:colOff>586154</xdr:colOff>
      <xdr:row>35</xdr:row>
      <xdr:rowOff>179103</xdr:rowOff>
    </xdr:to>
    <xdr:sp macro="" textlink="">
      <xdr:nvSpPr>
        <xdr:cNvPr id="17" name="Rectangle 16">
          <a:extLst>
            <a:ext uri="{FF2B5EF4-FFF2-40B4-BE49-F238E27FC236}">
              <a16:creationId xmlns:a16="http://schemas.microsoft.com/office/drawing/2014/main" id="{410C52B4-79B3-B1F9-FA8A-D921F63F2D42}"/>
            </a:ext>
          </a:extLst>
        </xdr:cNvPr>
        <xdr:cNvSpPr/>
      </xdr:nvSpPr>
      <xdr:spPr>
        <a:xfrm>
          <a:off x="1229295" y="512885"/>
          <a:ext cx="9126090" cy="6219744"/>
        </a:xfrm>
        <a:prstGeom prst="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4</xdr:col>
      <xdr:colOff>120650</xdr:colOff>
      <xdr:row>3</xdr:row>
      <xdr:rowOff>57150</xdr:rowOff>
    </xdr:from>
    <xdr:to>
      <xdr:col>6</xdr:col>
      <xdr:colOff>520700</xdr:colOff>
      <xdr:row>7</xdr:row>
      <xdr:rowOff>76200</xdr:rowOff>
    </xdr:to>
    <xdr:sp macro="" textlink="">
      <xdr:nvSpPr>
        <xdr:cNvPr id="2" name="Rectangle: Rounded Corners 1">
          <a:extLst>
            <a:ext uri="{FF2B5EF4-FFF2-40B4-BE49-F238E27FC236}">
              <a16:creationId xmlns:a16="http://schemas.microsoft.com/office/drawing/2014/main" id="{D2113BD3-721B-E49D-C6F9-2FA53B133656}"/>
            </a:ext>
          </a:extLst>
        </xdr:cNvPr>
        <xdr:cNvSpPr/>
      </xdr:nvSpPr>
      <xdr:spPr>
        <a:xfrm>
          <a:off x="2559050" y="609600"/>
          <a:ext cx="1619250" cy="75565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d-ID" sz="1100"/>
            <a:t>TOTAL PENGHARGAAN </a:t>
          </a:r>
          <a:endParaRPr lang="en-ID" sz="1100"/>
        </a:p>
      </xdr:txBody>
    </xdr:sp>
    <xdr:clientData/>
  </xdr:twoCellAnchor>
  <xdr:twoCellAnchor>
    <xdr:from>
      <xdr:col>7</xdr:col>
      <xdr:colOff>514350</xdr:colOff>
      <xdr:row>3</xdr:row>
      <xdr:rowOff>69850</xdr:rowOff>
    </xdr:from>
    <xdr:to>
      <xdr:col>10</xdr:col>
      <xdr:colOff>450850</xdr:colOff>
      <xdr:row>7</xdr:row>
      <xdr:rowOff>88900</xdr:rowOff>
    </xdr:to>
    <xdr:sp macro="" textlink="">
      <xdr:nvSpPr>
        <xdr:cNvPr id="3" name="Rectangle: Rounded Corners 2">
          <a:extLst>
            <a:ext uri="{FF2B5EF4-FFF2-40B4-BE49-F238E27FC236}">
              <a16:creationId xmlns:a16="http://schemas.microsoft.com/office/drawing/2014/main" id="{401EF785-4227-42F6-B7D6-2A10B29A33B2}"/>
            </a:ext>
          </a:extLst>
        </xdr:cNvPr>
        <xdr:cNvSpPr/>
      </xdr:nvSpPr>
      <xdr:spPr>
        <a:xfrm>
          <a:off x="4781550" y="622300"/>
          <a:ext cx="1765300" cy="75565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d-ID" sz="1100"/>
            <a:t>TOTAL POIN</a:t>
          </a:r>
          <a:r>
            <a:rPr lang="id-ID" sz="1100" baseline="0"/>
            <a:t> AKUMULATIF</a:t>
          </a:r>
          <a:r>
            <a:rPr lang="id-ID" sz="1100"/>
            <a:t> </a:t>
          </a:r>
          <a:endParaRPr lang="en-ID" sz="1100"/>
        </a:p>
      </xdr:txBody>
    </xdr:sp>
    <xdr:clientData/>
  </xdr:twoCellAnchor>
  <xdr:twoCellAnchor>
    <xdr:from>
      <xdr:col>11</xdr:col>
      <xdr:colOff>458177</xdr:colOff>
      <xdr:row>3</xdr:row>
      <xdr:rowOff>55359</xdr:rowOff>
    </xdr:from>
    <xdr:to>
      <xdr:col>14</xdr:col>
      <xdr:colOff>248627</xdr:colOff>
      <xdr:row>7</xdr:row>
      <xdr:rowOff>74409</xdr:rowOff>
    </xdr:to>
    <xdr:sp macro="" textlink="">
      <xdr:nvSpPr>
        <xdr:cNvPr id="4" name="Rectangle: Rounded Corners 3">
          <a:extLst>
            <a:ext uri="{FF2B5EF4-FFF2-40B4-BE49-F238E27FC236}">
              <a16:creationId xmlns:a16="http://schemas.microsoft.com/office/drawing/2014/main" id="{304EDD20-F469-4594-BF9A-07493A636CF8}"/>
            </a:ext>
          </a:extLst>
        </xdr:cNvPr>
        <xdr:cNvSpPr/>
      </xdr:nvSpPr>
      <xdr:spPr>
        <a:xfrm>
          <a:off x="7174523" y="617090"/>
          <a:ext cx="1622181" cy="768024"/>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d-ID" sz="1100"/>
            <a:t>RATA-RATA</a:t>
          </a:r>
          <a:r>
            <a:rPr lang="id-ID" sz="1100" baseline="0"/>
            <a:t> POIN PER </a:t>
          </a:r>
        </a:p>
        <a:p>
          <a:pPr algn="ctr"/>
          <a:r>
            <a:rPr lang="id-ID" sz="1100" baseline="0"/>
            <a:t>PRESTASI </a:t>
          </a:r>
          <a:r>
            <a:rPr lang="id-ID" sz="1100"/>
            <a:t> </a:t>
          </a:r>
          <a:endParaRPr lang="en-ID" sz="1100"/>
        </a:p>
      </xdr:txBody>
    </xdr:sp>
    <xdr:clientData/>
  </xdr:twoCellAnchor>
  <xdr:oneCellAnchor>
    <xdr:from>
      <xdr:col>8</xdr:col>
      <xdr:colOff>514350</xdr:colOff>
      <xdr:row>4</xdr:row>
      <xdr:rowOff>158750</xdr:rowOff>
    </xdr:from>
    <xdr:ext cx="652743" cy="374141"/>
    <xdr:sp macro="" textlink="Pivot_Workspace!D7">
      <xdr:nvSpPr>
        <xdr:cNvPr id="5" name="TextBox 4">
          <a:extLst>
            <a:ext uri="{FF2B5EF4-FFF2-40B4-BE49-F238E27FC236}">
              <a16:creationId xmlns:a16="http://schemas.microsoft.com/office/drawing/2014/main" id="{3FD7F328-417D-389A-E100-63E3E2E550D3}"/>
            </a:ext>
          </a:extLst>
        </xdr:cNvPr>
        <xdr:cNvSpPr txBox="1"/>
      </xdr:nvSpPr>
      <xdr:spPr>
        <a:xfrm>
          <a:off x="5415056" y="905809"/>
          <a:ext cx="65274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1E5EA2B-6C8F-4CEF-8BB1-C93E80BE30A1}" type="TxLink">
            <a:rPr lang="en-US" sz="1800" b="0" i="0" u="none" strike="noStrike">
              <a:solidFill>
                <a:schemeClr val="bg1"/>
              </a:solidFill>
              <a:latin typeface="Calibri"/>
              <a:ea typeface="Calibri"/>
              <a:cs typeface="Calibri"/>
            </a:rPr>
            <a:t>5123</a:t>
          </a:fld>
          <a:endParaRPr lang="en-ID" sz="1800">
            <a:solidFill>
              <a:schemeClr val="bg1"/>
            </a:solidFill>
          </a:endParaRPr>
        </a:p>
      </xdr:txBody>
    </xdr:sp>
    <xdr:clientData/>
  </xdr:oneCellAnchor>
  <xdr:oneCellAnchor>
    <xdr:from>
      <xdr:col>5</xdr:col>
      <xdr:colOff>57150</xdr:colOff>
      <xdr:row>4</xdr:row>
      <xdr:rowOff>146050</xdr:rowOff>
    </xdr:from>
    <xdr:ext cx="535724" cy="374141"/>
    <xdr:sp macro="" textlink="Pivot_Workspace!D3">
      <xdr:nvSpPr>
        <xdr:cNvPr id="6" name="TextBox 5">
          <a:extLst>
            <a:ext uri="{FF2B5EF4-FFF2-40B4-BE49-F238E27FC236}">
              <a16:creationId xmlns:a16="http://schemas.microsoft.com/office/drawing/2014/main" id="{FEFFC689-AB0F-3A88-12DD-D9555D91D610}"/>
            </a:ext>
          </a:extLst>
        </xdr:cNvPr>
        <xdr:cNvSpPr txBox="1"/>
      </xdr:nvSpPr>
      <xdr:spPr>
        <a:xfrm>
          <a:off x="3120091" y="893109"/>
          <a:ext cx="53572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B9356BC-728E-449C-8DA3-3676CC1818DB}" type="TxLink">
            <a:rPr lang="en-US" sz="1800" b="0" i="0" u="none" strike="noStrike">
              <a:solidFill>
                <a:schemeClr val="bg1"/>
              </a:solidFill>
              <a:latin typeface="Calibri"/>
              <a:ea typeface="Calibri"/>
              <a:cs typeface="Calibri"/>
            </a:rPr>
            <a:t>100</a:t>
          </a:fld>
          <a:endParaRPr lang="en-ID" sz="1800">
            <a:solidFill>
              <a:schemeClr val="bg1"/>
            </a:solidFill>
          </a:endParaRPr>
        </a:p>
      </xdr:txBody>
    </xdr:sp>
    <xdr:clientData/>
  </xdr:oneCellAnchor>
  <xdr:oneCellAnchor>
    <xdr:from>
      <xdr:col>10</xdr:col>
      <xdr:colOff>63500</xdr:colOff>
      <xdr:row>12</xdr:row>
      <xdr:rowOff>50800</xdr:rowOff>
    </xdr:from>
    <xdr:ext cx="184731" cy="264560"/>
    <xdr:sp macro="" textlink="">
      <xdr:nvSpPr>
        <xdr:cNvPr id="7" name="TextBox 6">
          <a:extLst>
            <a:ext uri="{FF2B5EF4-FFF2-40B4-BE49-F238E27FC236}">
              <a16:creationId xmlns:a16="http://schemas.microsoft.com/office/drawing/2014/main" id="{FCEC5B1B-CB64-2CF3-A6D2-3F493A04EF87}"/>
            </a:ext>
          </a:extLst>
        </xdr:cNvPr>
        <xdr:cNvSpPr txBox="1"/>
      </xdr:nvSpPr>
      <xdr:spPr>
        <a:xfrm>
          <a:off x="6159500" y="226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12</xdr:col>
      <xdr:colOff>368300</xdr:colOff>
      <xdr:row>5</xdr:row>
      <xdr:rowOff>50800</xdr:rowOff>
    </xdr:from>
    <xdr:ext cx="651845" cy="342786"/>
    <xdr:sp macro="" textlink="Z3">
      <xdr:nvSpPr>
        <xdr:cNvPr id="8" name="TextBox 7">
          <a:extLst>
            <a:ext uri="{FF2B5EF4-FFF2-40B4-BE49-F238E27FC236}">
              <a16:creationId xmlns:a16="http://schemas.microsoft.com/office/drawing/2014/main" id="{1D6982AA-51EC-63BE-8685-CF07077F9C90}"/>
            </a:ext>
          </a:extLst>
        </xdr:cNvPr>
        <xdr:cNvSpPr txBox="1"/>
      </xdr:nvSpPr>
      <xdr:spPr>
        <a:xfrm>
          <a:off x="7662659" y="973450"/>
          <a:ext cx="65184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2C5D8A-6D4B-4A07-A02C-AF585BA1C55B}" type="TxLink">
            <a:rPr lang="en-US" sz="1600" b="0" i="0" u="none" strike="noStrike">
              <a:solidFill>
                <a:schemeClr val="bg1"/>
              </a:solidFill>
              <a:latin typeface="Calibri"/>
              <a:ea typeface="Calibri"/>
              <a:cs typeface="Calibri"/>
            </a:rPr>
            <a:t>51,23</a:t>
          </a:fld>
          <a:endParaRPr lang="en-ID" sz="1600">
            <a:solidFill>
              <a:schemeClr val="bg1"/>
            </a:solidFill>
          </a:endParaRPr>
        </a:p>
      </xdr:txBody>
    </xdr:sp>
    <xdr:clientData/>
  </xdr:oneCellAnchor>
  <xdr:twoCellAnchor>
    <xdr:from>
      <xdr:col>2</xdr:col>
      <xdr:colOff>571826</xdr:colOff>
      <xdr:row>9</xdr:row>
      <xdr:rowOff>64640</xdr:rowOff>
    </xdr:from>
    <xdr:to>
      <xdr:col>9</xdr:col>
      <xdr:colOff>33134</xdr:colOff>
      <xdr:row>21</xdr:row>
      <xdr:rowOff>51940</xdr:rowOff>
    </xdr:to>
    <xdr:graphicFrame macro="">
      <xdr:nvGraphicFramePr>
        <xdr:cNvPr id="9" name="Chart 8">
          <a:extLst>
            <a:ext uri="{FF2B5EF4-FFF2-40B4-BE49-F238E27FC236}">
              <a16:creationId xmlns:a16="http://schemas.microsoft.com/office/drawing/2014/main" id="{3F32E768-48F4-4E2F-B410-C60564699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497959</xdr:colOff>
      <xdr:row>9</xdr:row>
      <xdr:rowOff>92943</xdr:rowOff>
    </xdr:from>
    <xdr:to>
      <xdr:col>15</xdr:col>
      <xdr:colOff>365668</xdr:colOff>
      <xdr:row>21</xdr:row>
      <xdr:rowOff>31207</xdr:rowOff>
    </xdr:to>
    <xdr:graphicFrame macro="">
      <xdr:nvGraphicFramePr>
        <xdr:cNvPr id="10" name="Chart 9">
          <a:extLst>
            <a:ext uri="{FF2B5EF4-FFF2-40B4-BE49-F238E27FC236}">
              <a16:creationId xmlns:a16="http://schemas.microsoft.com/office/drawing/2014/main" id="{B25357F6-0C61-4440-A35F-A484B22AD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109225</xdr:colOff>
      <xdr:row>22</xdr:row>
      <xdr:rowOff>141113</xdr:rowOff>
    </xdr:from>
    <xdr:to>
      <xdr:col>7</xdr:col>
      <xdr:colOff>112401</xdr:colOff>
      <xdr:row>35</xdr:row>
      <xdr:rowOff>17640</xdr:rowOff>
    </xdr:to>
    <mc:AlternateContent xmlns:mc="http://schemas.openxmlformats.org/markup-compatibility/2006">
      <mc:Choice xmlns:a14="http://schemas.microsoft.com/office/drawing/2010/main" Requires="a14">
        <xdr:graphicFrame macro="">
          <xdr:nvGraphicFramePr>
            <xdr:cNvPr id="11" name="Wilayah_Asal 1">
              <a:extLst>
                <a:ext uri="{FF2B5EF4-FFF2-40B4-BE49-F238E27FC236}">
                  <a16:creationId xmlns:a16="http://schemas.microsoft.com/office/drawing/2014/main" id="{22760119-F79B-4A26-ABDE-1B2BBE505B75}"/>
                </a:ext>
              </a:extLst>
            </xdr:cNvPr>
            <xdr:cNvGraphicFramePr/>
          </xdr:nvGraphicFramePr>
          <xdr:xfrm>
            <a:off x="0" y="0"/>
            <a:ext cx="0" cy="0"/>
          </xdr:xfrm>
          <a:graphic>
            <a:graphicData uri="http://schemas.microsoft.com/office/drawing/2010/slicer">
              <sle:slicer xmlns:sle="http://schemas.microsoft.com/office/drawing/2010/slicer" name="Wilayah_Asal 1"/>
            </a:graphicData>
          </a:graphic>
        </xdr:graphicFrame>
      </mc:Choice>
      <mc:Fallback>
        <xdr:sp macro="" textlink="">
          <xdr:nvSpPr>
            <xdr:cNvPr id="0" name=""/>
            <xdr:cNvSpPr>
              <a:spLocks noTextEdit="1"/>
            </xdr:cNvSpPr>
          </xdr:nvSpPr>
          <xdr:spPr>
            <a:xfrm>
              <a:off x="2561639" y="4235768"/>
              <a:ext cx="1842486" cy="22960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595652</xdr:colOff>
      <xdr:row>22</xdr:row>
      <xdr:rowOff>140434</xdr:rowOff>
    </xdr:from>
    <xdr:to>
      <xdr:col>10</xdr:col>
      <xdr:colOff>598827</xdr:colOff>
      <xdr:row>32</xdr:row>
      <xdr:rowOff>34599</xdr:rowOff>
    </xdr:to>
    <mc:AlternateContent xmlns:mc="http://schemas.openxmlformats.org/markup-compatibility/2006">
      <mc:Choice xmlns:a14="http://schemas.microsoft.com/office/drawing/2010/main" Requires="a14">
        <xdr:graphicFrame macro="">
          <xdr:nvGraphicFramePr>
            <xdr:cNvPr id="12" name="Program_Studi 1">
              <a:extLst>
                <a:ext uri="{FF2B5EF4-FFF2-40B4-BE49-F238E27FC236}">
                  <a16:creationId xmlns:a16="http://schemas.microsoft.com/office/drawing/2014/main" id="{2A2B57FE-F320-4110-AD31-07A3E8FB784F}"/>
                </a:ext>
              </a:extLst>
            </xdr:cNvPr>
            <xdr:cNvGraphicFramePr/>
          </xdr:nvGraphicFramePr>
          <xdr:xfrm>
            <a:off x="0" y="0"/>
            <a:ext cx="0" cy="0"/>
          </xdr:xfrm>
          <a:graphic>
            <a:graphicData uri="http://schemas.microsoft.com/office/drawing/2010/slicer">
              <sle:slicer xmlns:sle="http://schemas.microsoft.com/office/drawing/2010/slicer" name="Program_Studi 1"/>
            </a:graphicData>
          </a:graphic>
        </xdr:graphicFrame>
      </mc:Choice>
      <mc:Fallback>
        <xdr:sp macro="" textlink="">
          <xdr:nvSpPr>
            <xdr:cNvPr id="0" name=""/>
            <xdr:cNvSpPr>
              <a:spLocks noTextEdit="1"/>
            </xdr:cNvSpPr>
          </xdr:nvSpPr>
          <xdr:spPr>
            <a:xfrm>
              <a:off x="4887376" y="4235089"/>
              <a:ext cx="1842485" cy="17553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480321</xdr:colOff>
      <xdr:row>22</xdr:row>
      <xdr:rowOff>141112</xdr:rowOff>
    </xdr:from>
    <xdr:to>
      <xdr:col>14</xdr:col>
      <xdr:colOff>483496</xdr:colOff>
      <xdr:row>29</xdr:row>
      <xdr:rowOff>149931</xdr:rowOff>
    </xdr:to>
    <mc:AlternateContent xmlns:mc="http://schemas.openxmlformats.org/markup-compatibility/2006">
      <mc:Choice xmlns:a14="http://schemas.microsoft.com/office/drawing/2010/main" Requires="a14">
        <xdr:graphicFrame macro="">
          <xdr:nvGraphicFramePr>
            <xdr:cNvPr id="13" name="Tingkat_Kompetisi 1">
              <a:extLst>
                <a:ext uri="{FF2B5EF4-FFF2-40B4-BE49-F238E27FC236}">
                  <a16:creationId xmlns:a16="http://schemas.microsoft.com/office/drawing/2014/main" id="{2648F793-6F4D-4ABF-A3F1-3D9CEF890611}"/>
                </a:ext>
              </a:extLst>
            </xdr:cNvPr>
            <xdr:cNvGraphicFramePr/>
          </xdr:nvGraphicFramePr>
          <xdr:xfrm>
            <a:off x="0" y="0"/>
            <a:ext cx="0" cy="0"/>
          </xdr:xfrm>
          <a:graphic>
            <a:graphicData uri="http://schemas.microsoft.com/office/drawing/2010/slicer">
              <sle:slicer xmlns:sle="http://schemas.microsoft.com/office/drawing/2010/slicer" name="Tingkat_Kompetisi 1"/>
            </a:graphicData>
          </a:graphic>
        </xdr:graphicFrame>
      </mc:Choice>
      <mc:Fallback>
        <xdr:sp macro="" textlink="">
          <xdr:nvSpPr>
            <xdr:cNvPr id="0" name=""/>
            <xdr:cNvSpPr>
              <a:spLocks noTextEdit="1"/>
            </xdr:cNvSpPr>
          </xdr:nvSpPr>
          <xdr:spPr>
            <a:xfrm>
              <a:off x="7224459" y="4235767"/>
              <a:ext cx="1842485" cy="13116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ly" refreshedDate="46176.568130902779" createdVersion="8" refreshedVersion="8" minRefreshableVersion="3" recordCount="100" xr:uid="{9399E039-6563-48CC-B3F9-540E5EC43D66}">
  <cacheSource type="worksheet">
    <worksheetSource name="TabelPrestasi"/>
  </cacheSource>
  <cacheFields count="9">
    <cacheField name="NIM" numFmtId="0">
      <sharedItems/>
    </cacheField>
    <cacheField name="Nama_Mahasiswa" numFmtId="0">
      <sharedItems/>
    </cacheField>
    <cacheField name="Wilayah_Asal" numFmtId="0">
      <sharedItems count="7">
        <s v="Jawa Timur"/>
        <s v="Sulawesi Selatan"/>
        <s v="Sumatera Utara"/>
        <s v="Jawa Tengah"/>
        <s v="Jawa Barat"/>
        <s v="DKI Jakarta"/>
        <s v="Kalimantan Timur"/>
      </sharedItems>
    </cacheField>
    <cacheField name="Jenis_Kelamin" numFmtId="0">
      <sharedItems/>
    </cacheField>
    <cacheField name="Tingkat_Pendidikan" numFmtId="0">
      <sharedItems/>
    </cacheField>
    <cacheField name="Program_Studi" numFmtId="0">
      <sharedItems count="5">
        <s v="Manajemen Bisnis"/>
        <s v="Sistem Informasi"/>
        <s v="Teknik Informatika"/>
        <s v="Desain Komunikasi Visual"/>
        <s v="Akuntansi"/>
      </sharedItems>
    </cacheField>
    <cacheField name="Kategori_Prestasi" numFmtId="0">
      <sharedItems count="5">
        <s v="Non-Akademik (Olahraga)"/>
        <s v="Inovasi &amp; Teknologi"/>
        <s v="Akademik (Karya Ilmiah)"/>
        <s v="Seni &amp; Budaya"/>
        <s v="Wirausaha Muda"/>
      </sharedItems>
    </cacheField>
    <cacheField name="Tingkat_Kompetisi" numFmtId="0">
      <sharedItems count="3">
        <s v="Nasional"/>
        <s v="Internasional"/>
        <s v="Wilayah/Provinsi"/>
      </sharedItems>
    </cacheField>
    <cacheField name="Poin_Prestasi" numFmtId="1">
      <sharedItems containsSemiMixedTypes="0" containsString="0" containsNumber="1" containsInteger="1" minValue="15" maxValue="100"/>
    </cacheField>
  </cacheFields>
  <extLst>
    <ext xmlns:x14="http://schemas.microsoft.com/office/spreadsheetml/2009/9/main" uri="{725AE2AE-9491-48be-B2B4-4EB974FC3084}">
      <x14:pivotCacheDefinition pivotCacheId="348564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26018001"/>
    <s v="Mahasiswa 1"/>
    <x v="0"/>
    <s v="Laki-laki"/>
    <s v="S1 Internasional"/>
    <x v="0"/>
    <x v="0"/>
    <x v="0"/>
    <n v="58"/>
  </r>
  <r>
    <s v="26018002"/>
    <s v="Mahasiswa 2"/>
    <x v="0"/>
    <s v="Laki-laki"/>
    <s v="S1 Internasional"/>
    <x v="1"/>
    <x v="1"/>
    <x v="0"/>
    <n v="57"/>
  </r>
  <r>
    <s v="26018003"/>
    <s v="Mahasiswa 3"/>
    <x v="1"/>
    <s v="Laki-laki"/>
    <s v="S1 Reguler"/>
    <x v="0"/>
    <x v="2"/>
    <x v="1"/>
    <n v="93"/>
  </r>
  <r>
    <s v="26018004"/>
    <s v="Mahasiswa 4"/>
    <x v="2"/>
    <s v="Laki-laki"/>
    <s v="S1 Reguler"/>
    <x v="2"/>
    <x v="2"/>
    <x v="2"/>
    <n v="25"/>
  </r>
  <r>
    <s v="26018005"/>
    <s v="Mahasiswa 5"/>
    <x v="3"/>
    <s v="Laki-laki"/>
    <s v="S1 Internasional"/>
    <x v="0"/>
    <x v="2"/>
    <x v="1"/>
    <n v="93"/>
  </r>
  <r>
    <s v="26018006"/>
    <s v="Mahasiswa 6"/>
    <x v="4"/>
    <s v="Laki-laki"/>
    <s v="S1 Reguler"/>
    <x v="3"/>
    <x v="0"/>
    <x v="0"/>
    <n v="43"/>
  </r>
  <r>
    <s v="26018007"/>
    <s v="Mahasiswa 7"/>
    <x v="1"/>
    <s v="Perempuan"/>
    <s v="S1 Reguler"/>
    <x v="3"/>
    <x v="0"/>
    <x v="1"/>
    <n v="92"/>
  </r>
  <r>
    <s v="26018008"/>
    <s v="Mahasiswa 8"/>
    <x v="5"/>
    <s v="Perempuan"/>
    <s v="S1 Reguler"/>
    <x v="2"/>
    <x v="2"/>
    <x v="0"/>
    <n v="46"/>
  </r>
  <r>
    <s v="26018009"/>
    <s v="Mahasiswa 9"/>
    <x v="1"/>
    <s v="Laki-laki"/>
    <s v="S1 Internasional"/>
    <x v="3"/>
    <x v="1"/>
    <x v="1"/>
    <n v="84"/>
  </r>
  <r>
    <s v="26018010"/>
    <s v="Mahasiswa 10"/>
    <x v="4"/>
    <s v="Laki-laki"/>
    <s v="S1 Internasional"/>
    <x v="1"/>
    <x v="0"/>
    <x v="2"/>
    <n v="26"/>
  </r>
  <r>
    <s v="26018011"/>
    <s v="Mahasiswa 11"/>
    <x v="2"/>
    <s v="Perempuan"/>
    <s v="S1 Reguler"/>
    <x v="4"/>
    <x v="3"/>
    <x v="2"/>
    <n v="16"/>
  </r>
  <r>
    <s v="26018012"/>
    <s v="Mahasiswa 12"/>
    <x v="4"/>
    <s v="Perempuan"/>
    <s v="S1 Reguler"/>
    <x v="4"/>
    <x v="0"/>
    <x v="2"/>
    <n v="26"/>
  </r>
  <r>
    <s v="26018013"/>
    <s v="Mahasiswa 13"/>
    <x v="5"/>
    <s v="Laki-laki"/>
    <s v="S1 Internasional"/>
    <x v="3"/>
    <x v="2"/>
    <x v="2"/>
    <n v="30"/>
  </r>
  <r>
    <s v="26018014"/>
    <s v="Mahasiswa 14"/>
    <x v="3"/>
    <s v="Perempuan"/>
    <s v="S1 Reguler"/>
    <x v="0"/>
    <x v="2"/>
    <x v="1"/>
    <n v="84"/>
  </r>
  <r>
    <s v="26018015"/>
    <s v="Mahasiswa 15"/>
    <x v="4"/>
    <s v="Perempuan"/>
    <s v="S1 Reguler"/>
    <x v="0"/>
    <x v="0"/>
    <x v="2"/>
    <n v="20"/>
  </r>
  <r>
    <s v="26018016"/>
    <s v="Mahasiswa 16"/>
    <x v="5"/>
    <s v="Perempuan"/>
    <s v="S1 Reguler"/>
    <x v="3"/>
    <x v="2"/>
    <x v="1"/>
    <n v="80"/>
  </r>
  <r>
    <s v="26018017"/>
    <s v="Mahasiswa 17"/>
    <x v="5"/>
    <s v="Laki-laki"/>
    <s v="S1 Internasional"/>
    <x v="2"/>
    <x v="4"/>
    <x v="2"/>
    <n v="23"/>
  </r>
  <r>
    <s v="26018018"/>
    <s v="Mahasiswa 18"/>
    <x v="2"/>
    <s v="Perempuan"/>
    <s v="S1 Reguler"/>
    <x v="4"/>
    <x v="1"/>
    <x v="2"/>
    <n v="22"/>
  </r>
  <r>
    <s v="26018019"/>
    <s v="Mahasiswa 19"/>
    <x v="5"/>
    <s v="Laki-laki"/>
    <s v="S1 Internasional"/>
    <x v="0"/>
    <x v="0"/>
    <x v="0"/>
    <n v="45"/>
  </r>
  <r>
    <s v="26018020"/>
    <s v="Mahasiswa 20"/>
    <x v="5"/>
    <s v="Laki-laki"/>
    <s v="S1 Internasional"/>
    <x v="3"/>
    <x v="1"/>
    <x v="0"/>
    <n v="43"/>
  </r>
  <r>
    <s v="26018021"/>
    <s v="Mahasiswa 21"/>
    <x v="4"/>
    <s v="Perempuan"/>
    <s v="S1 Reguler"/>
    <x v="3"/>
    <x v="4"/>
    <x v="2"/>
    <n v="19"/>
  </r>
  <r>
    <s v="26018022"/>
    <s v="Mahasiswa 22"/>
    <x v="2"/>
    <s v="Laki-laki"/>
    <s v="S1 Internasional"/>
    <x v="3"/>
    <x v="3"/>
    <x v="2"/>
    <n v="16"/>
  </r>
  <r>
    <s v="26018023"/>
    <s v="Mahasiswa 23"/>
    <x v="3"/>
    <s v="Perempuan"/>
    <s v="S1 Reguler"/>
    <x v="0"/>
    <x v="4"/>
    <x v="1"/>
    <n v="98"/>
  </r>
  <r>
    <s v="26018024"/>
    <s v="Mahasiswa 24"/>
    <x v="4"/>
    <s v="Laki-laki"/>
    <s v="S1 Reguler"/>
    <x v="0"/>
    <x v="2"/>
    <x v="0"/>
    <n v="63"/>
  </r>
  <r>
    <s v="26018025"/>
    <s v="Mahasiswa 25"/>
    <x v="0"/>
    <s v="Perempuan"/>
    <s v="S1 Internasional"/>
    <x v="0"/>
    <x v="1"/>
    <x v="1"/>
    <n v="88"/>
  </r>
  <r>
    <s v="26018026"/>
    <s v="Mahasiswa 26"/>
    <x v="3"/>
    <s v="Perempuan"/>
    <s v="S1 Internasional"/>
    <x v="1"/>
    <x v="3"/>
    <x v="0"/>
    <n v="40"/>
  </r>
  <r>
    <s v="26018027"/>
    <s v="Mahasiswa 27"/>
    <x v="5"/>
    <s v="Perempuan"/>
    <s v="S1 Reguler"/>
    <x v="1"/>
    <x v="2"/>
    <x v="2"/>
    <n v="18"/>
  </r>
  <r>
    <s v="26018028"/>
    <s v="Mahasiswa 28"/>
    <x v="2"/>
    <s v="Laki-laki"/>
    <s v="S1 Internasional"/>
    <x v="4"/>
    <x v="0"/>
    <x v="0"/>
    <n v="51"/>
  </r>
  <r>
    <s v="26018029"/>
    <s v="Mahasiswa 29"/>
    <x v="5"/>
    <s v="Perempuan"/>
    <s v="S1 Internasional"/>
    <x v="4"/>
    <x v="2"/>
    <x v="1"/>
    <n v="89"/>
  </r>
  <r>
    <s v="26018030"/>
    <s v="Mahasiswa 30"/>
    <x v="3"/>
    <s v="Laki-laki"/>
    <s v="S1 Internasional"/>
    <x v="2"/>
    <x v="0"/>
    <x v="2"/>
    <n v="19"/>
  </r>
  <r>
    <s v="26018031"/>
    <s v="Mahasiswa 31"/>
    <x v="6"/>
    <s v="Perempuan"/>
    <s v="S1 Reguler"/>
    <x v="0"/>
    <x v="1"/>
    <x v="2"/>
    <n v="15"/>
  </r>
  <r>
    <s v="26018032"/>
    <s v="Mahasiswa 32"/>
    <x v="5"/>
    <s v="Laki-laki"/>
    <s v="S1 Reguler"/>
    <x v="0"/>
    <x v="1"/>
    <x v="0"/>
    <n v="41"/>
  </r>
  <r>
    <s v="26018033"/>
    <s v="Mahasiswa 33"/>
    <x v="5"/>
    <s v="Laki-laki"/>
    <s v="S1 Internasional"/>
    <x v="2"/>
    <x v="4"/>
    <x v="2"/>
    <n v="23"/>
  </r>
  <r>
    <s v="26018034"/>
    <s v="Mahasiswa 34"/>
    <x v="2"/>
    <s v="Perempuan"/>
    <s v="S1 Reguler"/>
    <x v="0"/>
    <x v="2"/>
    <x v="2"/>
    <n v="18"/>
  </r>
  <r>
    <s v="26018035"/>
    <s v="Mahasiswa 35"/>
    <x v="2"/>
    <s v="Laki-laki"/>
    <s v="S1 Internasional"/>
    <x v="3"/>
    <x v="2"/>
    <x v="1"/>
    <n v="84"/>
  </r>
  <r>
    <s v="26018036"/>
    <s v="Mahasiswa 36"/>
    <x v="2"/>
    <s v="Perempuan"/>
    <s v="S1 Reguler"/>
    <x v="4"/>
    <x v="1"/>
    <x v="0"/>
    <n v="40"/>
  </r>
  <r>
    <s v="26018037"/>
    <s v="Mahasiswa 37"/>
    <x v="3"/>
    <s v="Laki-laki"/>
    <s v="S1 Internasional"/>
    <x v="0"/>
    <x v="4"/>
    <x v="1"/>
    <n v="99"/>
  </r>
  <r>
    <s v="26018038"/>
    <s v="Mahasiswa 38"/>
    <x v="4"/>
    <s v="Perempuan"/>
    <s v="S1 Internasional"/>
    <x v="4"/>
    <x v="2"/>
    <x v="0"/>
    <n v="50"/>
  </r>
  <r>
    <s v="26018039"/>
    <s v="Mahasiswa 39"/>
    <x v="0"/>
    <s v="Perempuan"/>
    <s v="S1 Reguler"/>
    <x v="4"/>
    <x v="4"/>
    <x v="1"/>
    <n v="81"/>
  </r>
  <r>
    <s v="26018040"/>
    <s v="Mahasiswa 40"/>
    <x v="2"/>
    <s v="Laki-laki"/>
    <s v="S1 Internasional"/>
    <x v="1"/>
    <x v="2"/>
    <x v="1"/>
    <n v="85"/>
  </r>
  <r>
    <s v="26018041"/>
    <s v="Mahasiswa 41"/>
    <x v="4"/>
    <s v="Laki-laki"/>
    <s v="S1 Internasional"/>
    <x v="2"/>
    <x v="4"/>
    <x v="2"/>
    <n v="29"/>
  </r>
  <r>
    <s v="26018042"/>
    <s v="Mahasiswa 42"/>
    <x v="0"/>
    <s v="Perempuan"/>
    <s v="S1 Reguler"/>
    <x v="4"/>
    <x v="0"/>
    <x v="2"/>
    <n v="25"/>
  </r>
  <r>
    <s v="26018043"/>
    <s v="Mahasiswa 43"/>
    <x v="1"/>
    <s v="Laki-laki"/>
    <s v="S1 Internasional"/>
    <x v="3"/>
    <x v="4"/>
    <x v="2"/>
    <n v="30"/>
  </r>
  <r>
    <s v="26018044"/>
    <s v="Mahasiswa 44"/>
    <x v="5"/>
    <s v="Laki-laki"/>
    <s v="S1 Reguler"/>
    <x v="2"/>
    <x v="1"/>
    <x v="2"/>
    <n v="21"/>
  </r>
  <r>
    <s v="26018045"/>
    <s v="Mahasiswa 45"/>
    <x v="4"/>
    <s v="Laki-laki"/>
    <s v="S1 Reguler"/>
    <x v="1"/>
    <x v="3"/>
    <x v="1"/>
    <n v="87"/>
  </r>
  <r>
    <s v="26018046"/>
    <s v="Mahasiswa 46"/>
    <x v="5"/>
    <s v="Perempuan"/>
    <s v="S1 Reguler"/>
    <x v="4"/>
    <x v="3"/>
    <x v="1"/>
    <n v="94"/>
  </r>
  <r>
    <s v="26018047"/>
    <s v="Mahasiswa 47"/>
    <x v="1"/>
    <s v="Perempuan"/>
    <s v="S1 Reguler"/>
    <x v="4"/>
    <x v="4"/>
    <x v="2"/>
    <n v="15"/>
  </r>
  <r>
    <s v="26018048"/>
    <s v="Mahasiswa 48"/>
    <x v="2"/>
    <s v="Perempuan"/>
    <s v="S1 Reguler"/>
    <x v="4"/>
    <x v="1"/>
    <x v="1"/>
    <n v="82"/>
  </r>
  <r>
    <s v="26018049"/>
    <s v="Mahasiswa 49"/>
    <x v="0"/>
    <s v="Perempuan"/>
    <s v="S1 Reguler"/>
    <x v="0"/>
    <x v="0"/>
    <x v="0"/>
    <n v="49"/>
  </r>
  <r>
    <s v="26018050"/>
    <s v="Mahasiswa 50"/>
    <x v="0"/>
    <s v="Laki-laki"/>
    <s v="S1 Reguler"/>
    <x v="2"/>
    <x v="4"/>
    <x v="0"/>
    <n v="48"/>
  </r>
  <r>
    <s v="26018051"/>
    <s v="Mahasiswa 51"/>
    <x v="2"/>
    <s v="Laki-laki"/>
    <s v="S1 Reguler"/>
    <x v="3"/>
    <x v="3"/>
    <x v="2"/>
    <n v="30"/>
  </r>
  <r>
    <s v="26018052"/>
    <s v="Mahasiswa 52"/>
    <x v="3"/>
    <s v="Laki-laki"/>
    <s v="S1 Internasional"/>
    <x v="1"/>
    <x v="1"/>
    <x v="0"/>
    <n v="46"/>
  </r>
  <r>
    <s v="26018053"/>
    <s v="Mahasiswa 53"/>
    <x v="2"/>
    <s v="Perempuan"/>
    <s v="S1 Reguler"/>
    <x v="1"/>
    <x v="0"/>
    <x v="0"/>
    <n v="57"/>
  </r>
  <r>
    <s v="26018054"/>
    <s v="Mahasiswa 54"/>
    <x v="4"/>
    <s v="Laki-laki"/>
    <s v="S1 Reguler"/>
    <x v="3"/>
    <x v="4"/>
    <x v="2"/>
    <n v="25"/>
  </r>
  <r>
    <s v="26018055"/>
    <s v="Mahasiswa 55"/>
    <x v="5"/>
    <s v="Laki-laki"/>
    <s v="S1 Internasional"/>
    <x v="3"/>
    <x v="3"/>
    <x v="2"/>
    <n v="21"/>
  </r>
  <r>
    <s v="26018056"/>
    <s v="Mahasiswa 56"/>
    <x v="0"/>
    <s v="Perempuan"/>
    <s v="S1 Internasional"/>
    <x v="4"/>
    <x v="4"/>
    <x v="1"/>
    <n v="88"/>
  </r>
  <r>
    <s v="26018057"/>
    <s v="Mahasiswa 57"/>
    <x v="2"/>
    <s v="Perempuan"/>
    <s v="S1 Reguler"/>
    <x v="4"/>
    <x v="1"/>
    <x v="1"/>
    <n v="85"/>
  </r>
  <r>
    <s v="26018058"/>
    <s v="Mahasiswa 58"/>
    <x v="0"/>
    <s v="Laki-laki"/>
    <s v="S1 Reguler"/>
    <x v="1"/>
    <x v="3"/>
    <x v="1"/>
    <n v="90"/>
  </r>
  <r>
    <s v="26018059"/>
    <s v="Mahasiswa 59"/>
    <x v="0"/>
    <s v="Perempuan"/>
    <s v="S1 Internasional"/>
    <x v="1"/>
    <x v="1"/>
    <x v="1"/>
    <n v="100"/>
  </r>
  <r>
    <s v="26018060"/>
    <s v="Mahasiswa 60"/>
    <x v="4"/>
    <s v="Perempuan"/>
    <s v="S1 Reguler"/>
    <x v="3"/>
    <x v="2"/>
    <x v="0"/>
    <n v="44"/>
  </r>
  <r>
    <s v="26018061"/>
    <s v="Mahasiswa 61"/>
    <x v="1"/>
    <s v="Laki-laki"/>
    <s v="S1 Internasional"/>
    <x v="2"/>
    <x v="3"/>
    <x v="2"/>
    <n v="27"/>
  </r>
  <r>
    <s v="26018062"/>
    <s v="Mahasiswa 62"/>
    <x v="5"/>
    <s v="Perempuan"/>
    <s v="S1 Internasional"/>
    <x v="3"/>
    <x v="3"/>
    <x v="0"/>
    <n v="41"/>
  </r>
  <r>
    <s v="26018063"/>
    <s v="Mahasiswa 63"/>
    <x v="3"/>
    <s v="Laki-laki"/>
    <s v="S1 Internasional"/>
    <x v="1"/>
    <x v="3"/>
    <x v="1"/>
    <n v="92"/>
  </r>
  <r>
    <s v="26018064"/>
    <s v="Mahasiswa 64"/>
    <x v="0"/>
    <s v="Laki-laki"/>
    <s v="S1 Internasional"/>
    <x v="3"/>
    <x v="3"/>
    <x v="1"/>
    <n v="84"/>
  </r>
  <r>
    <s v="26018065"/>
    <s v="Mahasiswa 65"/>
    <x v="0"/>
    <s v="Perempuan"/>
    <s v="S1 Reguler"/>
    <x v="4"/>
    <x v="3"/>
    <x v="2"/>
    <n v="28"/>
  </r>
  <r>
    <s v="26018066"/>
    <s v="Mahasiswa 66"/>
    <x v="0"/>
    <s v="Laki-laki"/>
    <s v="S1 Internasional"/>
    <x v="4"/>
    <x v="3"/>
    <x v="1"/>
    <n v="87"/>
  </r>
  <r>
    <s v="26018067"/>
    <s v="Mahasiswa 67"/>
    <x v="0"/>
    <s v="Perempuan"/>
    <s v="S1 Reguler"/>
    <x v="2"/>
    <x v="0"/>
    <x v="1"/>
    <n v="81"/>
  </r>
  <r>
    <s v="26018068"/>
    <s v="Mahasiswa 68"/>
    <x v="6"/>
    <s v="Laki-laki"/>
    <s v="S1 Internasional"/>
    <x v="2"/>
    <x v="3"/>
    <x v="2"/>
    <n v="21"/>
  </r>
  <r>
    <s v="26018069"/>
    <s v="Mahasiswa 69"/>
    <x v="1"/>
    <s v="Laki-laki"/>
    <s v="S1 Reguler"/>
    <x v="1"/>
    <x v="3"/>
    <x v="0"/>
    <n v="58"/>
  </r>
  <r>
    <s v="26018070"/>
    <s v="Mahasiswa 70"/>
    <x v="5"/>
    <s v="Perempuan"/>
    <s v="S1 Internasional"/>
    <x v="0"/>
    <x v="3"/>
    <x v="0"/>
    <n v="40"/>
  </r>
  <r>
    <s v="26018071"/>
    <s v="Mahasiswa 71"/>
    <x v="2"/>
    <s v="Laki-laki"/>
    <s v="S1 Internasional"/>
    <x v="4"/>
    <x v="3"/>
    <x v="2"/>
    <n v="23"/>
  </r>
  <r>
    <s v="26018072"/>
    <s v="Mahasiswa 72"/>
    <x v="4"/>
    <s v="Laki-laki"/>
    <s v="S1 Internasional"/>
    <x v="1"/>
    <x v="4"/>
    <x v="2"/>
    <n v="19"/>
  </r>
  <r>
    <s v="26018073"/>
    <s v="Mahasiswa 73"/>
    <x v="2"/>
    <s v="Laki-laki"/>
    <s v="S1 Internasional"/>
    <x v="2"/>
    <x v="3"/>
    <x v="0"/>
    <n v="41"/>
  </r>
  <r>
    <s v="26018074"/>
    <s v="Mahasiswa 74"/>
    <x v="4"/>
    <s v="Laki-laki"/>
    <s v="S1 Reguler"/>
    <x v="1"/>
    <x v="0"/>
    <x v="2"/>
    <n v="16"/>
  </r>
  <r>
    <s v="26018075"/>
    <s v="Mahasiswa 75"/>
    <x v="5"/>
    <s v="Perempuan"/>
    <s v="S1 Internasional"/>
    <x v="3"/>
    <x v="1"/>
    <x v="2"/>
    <n v="20"/>
  </r>
  <r>
    <s v="26018076"/>
    <s v="Mahasiswa 76"/>
    <x v="5"/>
    <s v="Laki-laki"/>
    <s v="S1 Internasional"/>
    <x v="1"/>
    <x v="3"/>
    <x v="1"/>
    <n v="82"/>
  </r>
  <r>
    <s v="26018077"/>
    <s v="Mahasiswa 77"/>
    <x v="1"/>
    <s v="Laki-laki"/>
    <s v="S1 Reguler"/>
    <x v="1"/>
    <x v="3"/>
    <x v="2"/>
    <n v="26"/>
  </r>
  <r>
    <s v="26018078"/>
    <s v="Mahasiswa 78"/>
    <x v="3"/>
    <s v="Laki-laki"/>
    <s v="S1 Internasional"/>
    <x v="2"/>
    <x v="4"/>
    <x v="0"/>
    <n v="52"/>
  </r>
  <r>
    <s v="26018079"/>
    <s v="Mahasiswa 79"/>
    <x v="4"/>
    <s v="Perempuan"/>
    <s v="S1 Reguler"/>
    <x v="0"/>
    <x v="1"/>
    <x v="1"/>
    <n v="85"/>
  </r>
  <r>
    <s v="26018080"/>
    <s v="Mahasiswa 80"/>
    <x v="2"/>
    <s v="Laki-laki"/>
    <s v="S1 Internasional"/>
    <x v="1"/>
    <x v="1"/>
    <x v="2"/>
    <n v="23"/>
  </r>
  <r>
    <s v="26018081"/>
    <s v="Mahasiswa 81"/>
    <x v="5"/>
    <s v="Laki-laki"/>
    <s v="S1 Internasional"/>
    <x v="0"/>
    <x v="3"/>
    <x v="1"/>
    <n v="80"/>
  </r>
  <r>
    <s v="26018082"/>
    <s v="Mahasiswa 82"/>
    <x v="2"/>
    <s v="Perempuan"/>
    <s v="S1 Internasional"/>
    <x v="3"/>
    <x v="0"/>
    <x v="0"/>
    <n v="43"/>
  </r>
  <r>
    <s v="26018083"/>
    <s v="Mahasiswa 83"/>
    <x v="4"/>
    <s v="Laki-laki"/>
    <s v="S1 Internasional"/>
    <x v="3"/>
    <x v="0"/>
    <x v="2"/>
    <n v="18"/>
  </r>
  <r>
    <s v="26018084"/>
    <s v="Mahasiswa 84"/>
    <x v="6"/>
    <s v="Laki-laki"/>
    <s v="S1 Internasional"/>
    <x v="2"/>
    <x v="2"/>
    <x v="0"/>
    <n v="60"/>
  </r>
  <r>
    <s v="26018085"/>
    <s v="Mahasiswa 85"/>
    <x v="4"/>
    <s v="Perempuan"/>
    <s v="S1 Internasional"/>
    <x v="0"/>
    <x v="0"/>
    <x v="1"/>
    <n v="96"/>
  </r>
  <r>
    <s v="26018086"/>
    <s v="Mahasiswa 86"/>
    <x v="5"/>
    <s v="Laki-laki"/>
    <s v="S1 Reguler"/>
    <x v="4"/>
    <x v="0"/>
    <x v="0"/>
    <n v="47"/>
  </r>
  <r>
    <s v="26018087"/>
    <s v="Mahasiswa 87"/>
    <x v="6"/>
    <s v="Laki-laki"/>
    <s v="S1 Internasional"/>
    <x v="4"/>
    <x v="4"/>
    <x v="1"/>
    <n v="98"/>
  </r>
  <r>
    <s v="26018088"/>
    <s v="Mahasiswa 88"/>
    <x v="6"/>
    <s v="Perempuan"/>
    <s v="S1 Reguler"/>
    <x v="0"/>
    <x v="1"/>
    <x v="0"/>
    <n v="40"/>
  </r>
  <r>
    <s v="26018089"/>
    <s v="Mahasiswa 89"/>
    <x v="3"/>
    <s v="Perempuan"/>
    <s v="S1 Internasional"/>
    <x v="4"/>
    <x v="1"/>
    <x v="2"/>
    <n v="30"/>
  </r>
  <r>
    <s v="26018090"/>
    <s v="Mahasiswa 90"/>
    <x v="0"/>
    <s v="Laki-laki"/>
    <s v="S1 Reguler"/>
    <x v="0"/>
    <x v="0"/>
    <x v="1"/>
    <n v="86"/>
  </r>
  <r>
    <s v="26018091"/>
    <s v="Mahasiswa 91"/>
    <x v="5"/>
    <s v="Laki-laki"/>
    <s v="S1 Reguler"/>
    <x v="2"/>
    <x v="0"/>
    <x v="2"/>
    <n v="15"/>
  </r>
  <r>
    <s v="26018092"/>
    <s v="Mahasiswa 92"/>
    <x v="6"/>
    <s v="Laki-laki"/>
    <s v="S1 Reguler"/>
    <x v="1"/>
    <x v="2"/>
    <x v="0"/>
    <n v="43"/>
  </r>
  <r>
    <s v="26018093"/>
    <s v="Mahasiswa 93"/>
    <x v="6"/>
    <s v="Perempuan"/>
    <s v="S1 Reguler"/>
    <x v="4"/>
    <x v="4"/>
    <x v="1"/>
    <n v="87"/>
  </r>
  <r>
    <s v="26018094"/>
    <s v="Mahasiswa 94"/>
    <x v="3"/>
    <s v="Laki-laki"/>
    <s v="S1 Reguler"/>
    <x v="1"/>
    <x v="1"/>
    <x v="2"/>
    <n v="24"/>
  </r>
  <r>
    <s v="26018095"/>
    <s v="Mahasiswa 95"/>
    <x v="0"/>
    <s v="Laki-laki"/>
    <s v="S1 Reguler"/>
    <x v="4"/>
    <x v="0"/>
    <x v="0"/>
    <n v="50"/>
  </r>
  <r>
    <s v="26018096"/>
    <s v="Mahasiswa 96"/>
    <x v="0"/>
    <s v="Laki-laki"/>
    <s v="S1 Internasional"/>
    <x v="2"/>
    <x v="1"/>
    <x v="2"/>
    <n v="28"/>
  </r>
  <r>
    <s v="26018097"/>
    <s v="Mahasiswa 97"/>
    <x v="1"/>
    <s v="Perempuan"/>
    <s v="S1 Reguler"/>
    <x v="4"/>
    <x v="2"/>
    <x v="0"/>
    <n v="51"/>
  </r>
  <r>
    <s v="26018098"/>
    <s v="Mahasiswa 98"/>
    <x v="4"/>
    <s v="Perempuan"/>
    <s v="S1 Internasional"/>
    <x v="1"/>
    <x v="4"/>
    <x v="0"/>
    <n v="42"/>
  </r>
  <r>
    <s v="26018099"/>
    <s v="Mahasiswa 99"/>
    <x v="2"/>
    <s v="Laki-laki"/>
    <s v="S1 Reguler"/>
    <x v="1"/>
    <x v="1"/>
    <x v="1"/>
    <n v="90"/>
  </r>
  <r>
    <s v="26018100"/>
    <s v="Mahasiswa 100"/>
    <x v="2"/>
    <s v="Perempuan"/>
    <s v="S1 Reguler"/>
    <x v="2"/>
    <x v="3"/>
    <x v="0"/>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1B878B-D3AC-4F50-B25F-14CCC5318B1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9">
    <pivotField showAll="0"/>
    <pivotField showAll="0"/>
    <pivotField showAll="0">
      <items count="8">
        <item x="5"/>
        <item x="4"/>
        <item x="3"/>
        <item x="0"/>
        <item x="6"/>
        <item x="1"/>
        <item x="2"/>
        <item t="default"/>
      </items>
    </pivotField>
    <pivotField showAll="0"/>
    <pivotField showAll="0"/>
    <pivotField showAll="0">
      <items count="6">
        <item x="4"/>
        <item x="3"/>
        <item x="0"/>
        <item x="1"/>
        <item x="2"/>
        <item t="default"/>
      </items>
    </pivotField>
    <pivotField showAll="0"/>
    <pivotField showAll="0">
      <items count="4">
        <item x="1"/>
        <item x="0"/>
        <item x="2"/>
        <item t="default"/>
      </items>
    </pivotField>
    <pivotField dataField="1" numFmtId="1" showAll="0"/>
  </pivotFields>
  <rowItems count="1">
    <i/>
  </rowItems>
  <colItems count="1">
    <i/>
  </colItems>
  <dataFields count="1">
    <dataField name="Sum of Poin_Prestasi"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364747-B407-45D6-AB4B-33E46B80330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9">
    <pivotField dataField="1" showAll="0"/>
    <pivotField showAll="0"/>
    <pivotField showAll="0">
      <items count="8">
        <item x="5"/>
        <item x="4"/>
        <item x="3"/>
        <item x="0"/>
        <item x="6"/>
        <item x="1"/>
        <item x="2"/>
        <item t="default"/>
      </items>
    </pivotField>
    <pivotField showAll="0"/>
    <pivotField showAll="0"/>
    <pivotField showAll="0">
      <items count="6">
        <item x="4"/>
        <item x="3"/>
        <item x="0"/>
        <item x="1"/>
        <item x="2"/>
        <item t="default"/>
      </items>
    </pivotField>
    <pivotField showAll="0"/>
    <pivotField showAll="0">
      <items count="4">
        <item x="1"/>
        <item x="0"/>
        <item x="2"/>
        <item t="default"/>
      </items>
    </pivotField>
    <pivotField numFmtId="1" showAll="0"/>
  </pivotFields>
  <rowItems count="1">
    <i/>
  </rowItems>
  <colItems count="1">
    <i/>
  </colItems>
  <dataFields count="1">
    <dataField name="Count of NI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4E5ED-8F66-4D92-A22B-902D27939F1E}"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9">
    <pivotField dataField="1" showAll="0"/>
    <pivotField showAll="0"/>
    <pivotField showAll="0">
      <items count="8">
        <item x="5"/>
        <item x="4"/>
        <item x="3"/>
        <item x="0"/>
        <item x="6"/>
        <item x="1"/>
        <item x="2"/>
        <item t="default"/>
      </items>
    </pivotField>
    <pivotField showAll="0"/>
    <pivotField showAll="0"/>
    <pivotField showAll="0">
      <items count="6">
        <item x="4"/>
        <item x="3"/>
        <item x="0"/>
        <item x="1"/>
        <item x="2"/>
        <item t="default"/>
      </items>
    </pivotField>
    <pivotField showAll="0"/>
    <pivotField axis="axisRow" showAll="0">
      <items count="4">
        <item x="1"/>
        <item x="0"/>
        <item x="2"/>
        <item t="default"/>
      </items>
    </pivotField>
    <pivotField numFmtId="1" showAll="0"/>
  </pivotFields>
  <rowFields count="1">
    <field x="7"/>
  </rowFields>
  <rowItems count="4">
    <i>
      <x/>
    </i>
    <i>
      <x v="1"/>
    </i>
    <i>
      <x v="2"/>
    </i>
    <i t="grand">
      <x/>
    </i>
  </rowItems>
  <colItems count="1">
    <i/>
  </colItems>
  <dataFields count="1">
    <dataField name="Count of NI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BE16A-5F44-43A9-82F2-D46202208CC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8" firstHeaderRow="1" firstDataRow="1" firstDataCol="1"/>
  <pivotFields count="9">
    <pivotField dataField="1" showAll="0"/>
    <pivotField showAll="0"/>
    <pivotField showAll="0">
      <items count="8">
        <item x="5"/>
        <item x="4"/>
        <item x="3"/>
        <item x="0"/>
        <item x="6"/>
        <item x="1"/>
        <item x="2"/>
        <item t="default"/>
      </items>
    </pivotField>
    <pivotField showAll="0"/>
    <pivotField showAll="0"/>
    <pivotField showAll="0">
      <items count="6">
        <item x="4"/>
        <item x="3"/>
        <item x="0"/>
        <item x="1"/>
        <item x="2"/>
        <item t="default"/>
      </items>
    </pivotField>
    <pivotField axis="axisRow" showAll="0">
      <items count="6">
        <item x="2"/>
        <item x="1"/>
        <item x="0"/>
        <item x="3"/>
        <item x="4"/>
        <item t="default"/>
      </items>
    </pivotField>
    <pivotField showAll="0">
      <items count="4">
        <item x="1"/>
        <item x="0"/>
        <item x="2"/>
        <item t="default"/>
      </items>
    </pivotField>
    <pivotField numFmtId="1" showAll="0"/>
  </pivotFields>
  <rowFields count="1">
    <field x="6"/>
  </rowFields>
  <rowItems count="6">
    <i>
      <x/>
    </i>
    <i>
      <x v="1"/>
    </i>
    <i>
      <x v="2"/>
    </i>
    <i>
      <x v="3"/>
    </i>
    <i>
      <x v="4"/>
    </i>
    <i t="grand">
      <x/>
    </i>
  </rowItems>
  <colItems count="1">
    <i/>
  </colItems>
  <dataFields count="1">
    <dataField name="Count of NIM"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C5543-6082-4599-9B48-3790D851858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10" firstHeaderRow="1" firstDataRow="1" firstDataCol="1"/>
  <pivotFields count="9">
    <pivotField showAll="0"/>
    <pivotField showAll="0"/>
    <pivotField axis="axisRow" showAll="0" sortType="descending">
      <items count="8">
        <item x="5"/>
        <item x="4"/>
        <item x="3"/>
        <item x="0"/>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3"/>
        <item x="0"/>
        <item x="1"/>
        <item x="2"/>
        <item t="default"/>
      </items>
    </pivotField>
    <pivotField showAll="0"/>
    <pivotField showAll="0">
      <items count="4">
        <item x="1"/>
        <item x="0"/>
        <item x="2"/>
        <item t="default"/>
      </items>
    </pivotField>
    <pivotField dataField="1" numFmtId="1" showAll="0"/>
  </pivotFields>
  <rowFields count="1">
    <field x="2"/>
  </rowFields>
  <rowItems count="8">
    <i>
      <x v="3"/>
    </i>
    <i>
      <x/>
    </i>
    <i>
      <x v="6"/>
    </i>
    <i>
      <x v="1"/>
    </i>
    <i>
      <x v="2"/>
    </i>
    <i>
      <x v="5"/>
    </i>
    <i>
      <x v="4"/>
    </i>
    <i t="grand">
      <x/>
    </i>
  </rowItems>
  <colItems count="1">
    <i/>
  </colItems>
  <dataFields count="1">
    <dataField name="Sum of Poin_Prestasi" fld="8"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layah_Asal" xr10:uid="{62E363B3-1ABA-46F5-9D3A-7ADF5409F214}" sourceName="Wilayah_Asal">
  <pivotTables>
    <pivotTable tabId="2" name="PivotTable1"/>
    <pivotTable tabId="2" name="PivotTable2"/>
    <pivotTable tabId="2" name="PivotTable3"/>
    <pivotTable tabId="2" name="PivotTable4"/>
    <pivotTable tabId="2" name="PivotTable5"/>
  </pivotTables>
  <data>
    <tabular pivotCacheId="348564929">
      <items count="7">
        <i x="5" s="1"/>
        <i x="4" s="1"/>
        <i x="3" s="1"/>
        <i x="0" s="1"/>
        <i x="6"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Studi" xr10:uid="{DC09E684-1D8C-48AC-B421-D8A026E91D85}" sourceName="Program_Studi">
  <pivotTables>
    <pivotTable tabId="2" name="PivotTable1"/>
    <pivotTable tabId="2" name="PivotTable2"/>
    <pivotTable tabId="2" name="PivotTable3"/>
    <pivotTable tabId="2" name="PivotTable4"/>
    <pivotTable tabId="2" name="PivotTable5"/>
  </pivotTables>
  <data>
    <tabular pivotCacheId="348564929">
      <items count="5">
        <i x="4" s="1"/>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gkat_Kompetisi" xr10:uid="{ACFEAD95-4344-4D12-8994-3AFF643B141A}" sourceName="Tingkat_Kompetisi">
  <pivotTables>
    <pivotTable tabId="2" name="PivotTable1"/>
    <pivotTable tabId="2" name="PivotTable2"/>
    <pivotTable tabId="2" name="PivotTable3"/>
    <pivotTable tabId="2" name="PivotTable4"/>
    <pivotTable tabId="2" name="PivotTable5"/>
  </pivotTables>
  <data>
    <tabular pivotCacheId="34856492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layah_Asal 1" xr10:uid="{740C1BF2-1C32-4BAD-9504-FFB8C4FBFD79}" cache="Slicer_Wilayah_Asal" caption="Wilayah_Asal" style="SlicerStyleLight2" rowHeight="241300"/>
  <slicer name="Program_Studi 1" xr10:uid="{5F77E48F-96ED-46C5-BCB1-ADF09EA82709}" cache="Slicer_Program_Studi" caption="Program_Studi" style="SlicerStyleLight2" rowHeight="241300"/>
  <slicer name="Tingkat_Kompetisi 1" xr10:uid="{CF92FDE1-E48D-4B7C-A52D-CF3B26B15590}" cache="Slicer_Tingkat_Kompetisi" caption="Tingkat_Kompetisi"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Prestasi" displayName="TabelPrestasi" ref="A1:I101">
  <autoFilter ref="A1:I101" xr:uid="{00000000-0009-0000-0100-000001000000}"/>
  <tableColumns count="9">
    <tableColumn id="1" xr3:uid="{00000000-0010-0000-0000-000001000000}" name="NIM"/>
    <tableColumn id="2" xr3:uid="{00000000-0010-0000-0000-000002000000}" name="Nama_Mahasiswa"/>
    <tableColumn id="3" xr3:uid="{00000000-0010-0000-0000-000003000000}" name="Wilayah_Asal"/>
    <tableColumn id="4" xr3:uid="{00000000-0010-0000-0000-000004000000}" name="Jenis_Kelamin"/>
    <tableColumn id="5" xr3:uid="{00000000-0010-0000-0000-000005000000}" name="Tingkat_Pendidikan"/>
    <tableColumn id="6" xr3:uid="{00000000-0010-0000-0000-000006000000}" name="Program_Studi"/>
    <tableColumn id="7" xr3:uid="{00000000-0010-0000-0000-000007000000}" name="Kategori_Prestasi"/>
    <tableColumn id="8" xr3:uid="{00000000-0010-0000-0000-000008000000}" name="Tingkat_Kompetisi"/>
    <tableColumn id="9" xr3:uid="{00000000-0010-0000-0000-000009000000}" name="Poin_Prestasi"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selection activeCell="D21" sqref="D21"/>
    </sheetView>
  </sheetViews>
  <sheetFormatPr defaultColWidth="8.81640625" defaultRowHeight="14.5" x14ac:dyDescent="0.35"/>
  <cols>
    <col min="1" max="1" width="12" customWidth="1"/>
    <col min="2" max="2" width="18" customWidth="1"/>
    <col min="3" max="3" width="20" customWidth="1"/>
    <col min="4" max="4" width="17" customWidth="1"/>
    <col min="5" max="5" width="22" customWidth="1"/>
    <col min="6" max="6" width="28" customWidth="1"/>
    <col min="7" max="7" width="27" customWidth="1"/>
    <col min="8" max="8" width="21" customWidth="1"/>
    <col min="9" max="9" width="17" style="10" customWidth="1"/>
  </cols>
  <sheetData>
    <row r="1" spans="1:9" x14ac:dyDescent="0.35">
      <c r="A1" s="1" t="s">
        <v>0</v>
      </c>
      <c r="B1" s="1" t="s">
        <v>1</v>
      </c>
      <c r="C1" s="1" t="s">
        <v>2</v>
      </c>
      <c r="D1" s="1" t="s">
        <v>3</v>
      </c>
      <c r="E1" s="1" t="s">
        <v>4</v>
      </c>
      <c r="F1" s="1" t="s">
        <v>5</v>
      </c>
      <c r="G1" s="1" t="s">
        <v>6</v>
      </c>
      <c r="H1" s="1" t="s">
        <v>7</v>
      </c>
      <c r="I1" s="7" t="s">
        <v>8</v>
      </c>
    </row>
    <row r="2" spans="1:9" x14ac:dyDescent="0.35">
      <c r="A2" s="2" t="s">
        <v>9</v>
      </c>
      <c r="B2" s="3" t="s">
        <v>10</v>
      </c>
      <c r="C2" s="3" t="s">
        <v>11</v>
      </c>
      <c r="D2" s="2" t="s">
        <v>12</v>
      </c>
      <c r="E2" s="2" t="s">
        <v>13</v>
      </c>
      <c r="F2" s="3" t="s">
        <v>14</v>
      </c>
      <c r="G2" s="3" t="s">
        <v>15</v>
      </c>
      <c r="H2" s="2" t="s">
        <v>16</v>
      </c>
      <c r="I2" s="8">
        <v>58</v>
      </c>
    </row>
    <row r="3" spans="1:9" x14ac:dyDescent="0.35">
      <c r="A3" s="4" t="s">
        <v>17</v>
      </c>
      <c r="B3" s="5" t="s">
        <v>18</v>
      </c>
      <c r="C3" s="5" t="s">
        <v>11</v>
      </c>
      <c r="D3" s="4" t="s">
        <v>12</v>
      </c>
      <c r="E3" s="4" t="s">
        <v>13</v>
      </c>
      <c r="F3" s="5" t="s">
        <v>19</v>
      </c>
      <c r="G3" s="5" t="s">
        <v>20</v>
      </c>
      <c r="H3" s="4" t="s">
        <v>16</v>
      </c>
      <c r="I3" s="9">
        <v>57</v>
      </c>
    </row>
    <row r="4" spans="1:9" x14ac:dyDescent="0.35">
      <c r="A4" s="2" t="s">
        <v>21</v>
      </c>
      <c r="B4" s="3" t="s">
        <v>22</v>
      </c>
      <c r="C4" s="3" t="s">
        <v>23</v>
      </c>
      <c r="D4" s="2" t="s">
        <v>12</v>
      </c>
      <c r="E4" s="2" t="s">
        <v>24</v>
      </c>
      <c r="F4" s="3" t="s">
        <v>14</v>
      </c>
      <c r="G4" s="3" t="s">
        <v>25</v>
      </c>
      <c r="H4" s="2" t="s">
        <v>26</v>
      </c>
      <c r="I4" s="8">
        <v>93</v>
      </c>
    </row>
    <row r="5" spans="1:9" x14ac:dyDescent="0.35">
      <c r="A5" s="4" t="s">
        <v>27</v>
      </c>
      <c r="B5" s="5" t="s">
        <v>28</v>
      </c>
      <c r="C5" s="5" t="s">
        <v>29</v>
      </c>
      <c r="D5" s="4" t="s">
        <v>12</v>
      </c>
      <c r="E5" s="4" t="s">
        <v>24</v>
      </c>
      <c r="F5" s="5" t="s">
        <v>30</v>
      </c>
      <c r="G5" s="5" t="s">
        <v>25</v>
      </c>
      <c r="H5" s="4" t="s">
        <v>31</v>
      </c>
      <c r="I5" s="9">
        <v>25</v>
      </c>
    </row>
    <row r="6" spans="1:9" x14ac:dyDescent="0.35">
      <c r="A6" s="2" t="s">
        <v>32</v>
      </c>
      <c r="B6" s="3" t="s">
        <v>33</v>
      </c>
      <c r="C6" s="3" t="s">
        <v>34</v>
      </c>
      <c r="D6" s="2" t="s">
        <v>12</v>
      </c>
      <c r="E6" s="2" t="s">
        <v>13</v>
      </c>
      <c r="F6" s="3" t="s">
        <v>14</v>
      </c>
      <c r="G6" s="3" t="s">
        <v>25</v>
      </c>
      <c r="H6" s="2" t="s">
        <v>26</v>
      </c>
      <c r="I6" s="8">
        <v>93</v>
      </c>
    </row>
    <row r="7" spans="1:9" x14ac:dyDescent="0.35">
      <c r="A7" s="4" t="s">
        <v>35</v>
      </c>
      <c r="B7" s="5" t="s">
        <v>36</v>
      </c>
      <c r="C7" s="5" t="s">
        <v>37</v>
      </c>
      <c r="D7" s="4" t="s">
        <v>12</v>
      </c>
      <c r="E7" s="4" t="s">
        <v>24</v>
      </c>
      <c r="F7" s="5" t="s">
        <v>38</v>
      </c>
      <c r="G7" s="5" t="s">
        <v>15</v>
      </c>
      <c r="H7" s="4" t="s">
        <v>16</v>
      </c>
      <c r="I7" s="9">
        <v>43</v>
      </c>
    </row>
    <row r="8" spans="1:9" x14ac:dyDescent="0.35">
      <c r="A8" s="2" t="s">
        <v>39</v>
      </c>
      <c r="B8" s="3" t="s">
        <v>40</v>
      </c>
      <c r="C8" s="3" t="s">
        <v>23</v>
      </c>
      <c r="D8" s="2" t="s">
        <v>41</v>
      </c>
      <c r="E8" s="2" t="s">
        <v>24</v>
      </c>
      <c r="F8" s="3" t="s">
        <v>38</v>
      </c>
      <c r="G8" s="3" t="s">
        <v>15</v>
      </c>
      <c r="H8" s="2" t="s">
        <v>26</v>
      </c>
      <c r="I8" s="8">
        <v>92</v>
      </c>
    </row>
    <row r="9" spans="1:9" x14ac:dyDescent="0.35">
      <c r="A9" s="4" t="s">
        <v>42</v>
      </c>
      <c r="B9" s="5" t="s">
        <v>43</v>
      </c>
      <c r="C9" s="5" t="s">
        <v>44</v>
      </c>
      <c r="D9" s="4" t="s">
        <v>41</v>
      </c>
      <c r="E9" s="4" t="s">
        <v>24</v>
      </c>
      <c r="F9" s="5" t="s">
        <v>30</v>
      </c>
      <c r="G9" s="5" t="s">
        <v>25</v>
      </c>
      <c r="H9" s="4" t="s">
        <v>16</v>
      </c>
      <c r="I9" s="9">
        <v>46</v>
      </c>
    </row>
    <row r="10" spans="1:9" x14ac:dyDescent="0.35">
      <c r="A10" s="2" t="s">
        <v>45</v>
      </c>
      <c r="B10" s="3" t="s">
        <v>46</v>
      </c>
      <c r="C10" s="3" t="s">
        <v>23</v>
      </c>
      <c r="D10" s="2" t="s">
        <v>12</v>
      </c>
      <c r="E10" s="2" t="s">
        <v>13</v>
      </c>
      <c r="F10" s="3" t="s">
        <v>38</v>
      </c>
      <c r="G10" s="3" t="s">
        <v>20</v>
      </c>
      <c r="H10" s="2" t="s">
        <v>26</v>
      </c>
      <c r="I10" s="8">
        <v>84</v>
      </c>
    </row>
    <row r="11" spans="1:9" x14ac:dyDescent="0.35">
      <c r="A11" s="4" t="s">
        <v>47</v>
      </c>
      <c r="B11" s="5" t="s">
        <v>48</v>
      </c>
      <c r="C11" s="5" t="s">
        <v>37</v>
      </c>
      <c r="D11" s="4" t="s">
        <v>12</v>
      </c>
      <c r="E11" s="4" t="s">
        <v>13</v>
      </c>
      <c r="F11" s="5" t="s">
        <v>19</v>
      </c>
      <c r="G11" s="5" t="s">
        <v>15</v>
      </c>
      <c r="H11" s="4" t="s">
        <v>31</v>
      </c>
      <c r="I11" s="9">
        <v>26</v>
      </c>
    </row>
    <row r="12" spans="1:9" x14ac:dyDescent="0.35">
      <c r="A12" s="2" t="s">
        <v>49</v>
      </c>
      <c r="B12" s="3" t="s">
        <v>50</v>
      </c>
      <c r="C12" s="3" t="s">
        <v>29</v>
      </c>
      <c r="D12" s="2" t="s">
        <v>41</v>
      </c>
      <c r="E12" s="2" t="s">
        <v>24</v>
      </c>
      <c r="F12" s="3" t="s">
        <v>51</v>
      </c>
      <c r="G12" s="3" t="s">
        <v>52</v>
      </c>
      <c r="H12" s="2" t="s">
        <v>31</v>
      </c>
      <c r="I12" s="8">
        <v>16</v>
      </c>
    </row>
    <row r="13" spans="1:9" x14ac:dyDescent="0.35">
      <c r="A13" s="4" t="s">
        <v>53</v>
      </c>
      <c r="B13" s="5" t="s">
        <v>54</v>
      </c>
      <c r="C13" s="5" t="s">
        <v>37</v>
      </c>
      <c r="D13" s="4" t="s">
        <v>41</v>
      </c>
      <c r="E13" s="4" t="s">
        <v>24</v>
      </c>
      <c r="F13" s="5" t="s">
        <v>51</v>
      </c>
      <c r="G13" s="5" t="s">
        <v>15</v>
      </c>
      <c r="H13" s="4" t="s">
        <v>31</v>
      </c>
      <c r="I13" s="9">
        <v>26</v>
      </c>
    </row>
    <row r="14" spans="1:9" x14ac:dyDescent="0.35">
      <c r="A14" s="2" t="s">
        <v>55</v>
      </c>
      <c r="B14" s="3" t="s">
        <v>56</v>
      </c>
      <c r="C14" s="3" t="s">
        <v>44</v>
      </c>
      <c r="D14" s="2" t="s">
        <v>12</v>
      </c>
      <c r="E14" s="2" t="s">
        <v>13</v>
      </c>
      <c r="F14" s="3" t="s">
        <v>38</v>
      </c>
      <c r="G14" s="3" t="s">
        <v>25</v>
      </c>
      <c r="H14" s="2" t="s">
        <v>31</v>
      </c>
      <c r="I14" s="8">
        <v>30</v>
      </c>
    </row>
    <row r="15" spans="1:9" x14ac:dyDescent="0.35">
      <c r="A15" s="4" t="s">
        <v>57</v>
      </c>
      <c r="B15" s="5" t="s">
        <v>58</v>
      </c>
      <c r="C15" s="5" t="s">
        <v>34</v>
      </c>
      <c r="D15" s="4" t="s">
        <v>41</v>
      </c>
      <c r="E15" s="4" t="s">
        <v>24</v>
      </c>
      <c r="F15" s="5" t="s">
        <v>14</v>
      </c>
      <c r="G15" s="5" t="s">
        <v>25</v>
      </c>
      <c r="H15" s="4" t="s">
        <v>26</v>
      </c>
      <c r="I15" s="9">
        <v>84</v>
      </c>
    </row>
    <row r="16" spans="1:9" x14ac:dyDescent="0.35">
      <c r="A16" s="2" t="s">
        <v>59</v>
      </c>
      <c r="B16" s="3" t="s">
        <v>60</v>
      </c>
      <c r="C16" s="3" t="s">
        <v>37</v>
      </c>
      <c r="D16" s="2" t="s">
        <v>41</v>
      </c>
      <c r="E16" s="2" t="s">
        <v>24</v>
      </c>
      <c r="F16" s="3" t="s">
        <v>14</v>
      </c>
      <c r="G16" s="3" t="s">
        <v>15</v>
      </c>
      <c r="H16" s="2" t="s">
        <v>31</v>
      </c>
      <c r="I16" s="8">
        <v>20</v>
      </c>
    </row>
    <row r="17" spans="1:9" x14ac:dyDescent="0.35">
      <c r="A17" s="4" t="s">
        <v>61</v>
      </c>
      <c r="B17" s="5" t="s">
        <v>62</v>
      </c>
      <c r="C17" s="5" t="s">
        <v>44</v>
      </c>
      <c r="D17" s="4" t="s">
        <v>41</v>
      </c>
      <c r="E17" s="4" t="s">
        <v>24</v>
      </c>
      <c r="F17" s="5" t="s">
        <v>38</v>
      </c>
      <c r="G17" s="5" t="s">
        <v>25</v>
      </c>
      <c r="H17" s="4" t="s">
        <v>26</v>
      </c>
      <c r="I17" s="9">
        <v>80</v>
      </c>
    </row>
    <row r="18" spans="1:9" x14ac:dyDescent="0.35">
      <c r="A18" s="2" t="s">
        <v>63</v>
      </c>
      <c r="B18" s="3" t="s">
        <v>64</v>
      </c>
      <c r="C18" s="3" t="s">
        <v>44</v>
      </c>
      <c r="D18" s="2" t="s">
        <v>12</v>
      </c>
      <c r="E18" s="2" t="s">
        <v>13</v>
      </c>
      <c r="F18" s="3" t="s">
        <v>30</v>
      </c>
      <c r="G18" s="3" t="s">
        <v>65</v>
      </c>
      <c r="H18" s="2" t="s">
        <v>31</v>
      </c>
      <c r="I18" s="8">
        <v>23</v>
      </c>
    </row>
    <row r="19" spans="1:9" x14ac:dyDescent="0.35">
      <c r="A19" s="4" t="s">
        <v>66</v>
      </c>
      <c r="B19" s="5" t="s">
        <v>67</v>
      </c>
      <c r="C19" s="5" t="s">
        <v>29</v>
      </c>
      <c r="D19" s="4" t="s">
        <v>41</v>
      </c>
      <c r="E19" s="4" t="s">
        <v>24</v>
      </c>
      <c r="F19" s="5" t="s">
        <v>51</v>
      </c>
      <c r="G19" s="5" t="s">
        <v>20</v>
      </c>
      <c r="H19" s="4" t="s">
        <v>31</v>
      </c>
      <c r="I19" s="9">
        <v>22</v>
      </c>
    </row>
    <row r="20" spans="1:9" x14ac:dyDescent="0.35">
      <c r="A20" s="2" t="s">
        <v>68</v>
      </c>
      <c r="B20" s="3" t="s">
        <v>69</v>
      </c>
      <c r="C20" s="3" t="s">
        <v>44</v>
      </c>
      <c r="D20" s="2" t="s">
        <v>12</v>
      </c>
      <c r="E20" s="2" t="s">
        <v>13</v>
      </c>
      <c r="F20" s="3" t="s">
        <v>14</v>
      </c>
      <c r="G20" s="3" t="s">
        <v>15</v>
      </c>
      <c r="H20" s="2" t="s">
        <v>16</v>
      </c>
      <c r="I20" s="8">
        <v>45</v>
      </c>
    </row>
    <row r="21" spans="1:9" x14ac:dyDescent="0.35">
      <c r="A21" s="4" t="s">
        <v>70</v>
      </c>
      <c r="B21" s="5" t="s">
        <v>71</v>
      </c>
      <c r="C21" s="5" t="s">
        <v>44</v>
      </c>
      <c r="D21" s="4" t="s">
        <v>12</v>
      </c>
      <c r="E21" s="4" t="s">
        <v>13</v>
      </c>
      <c r="F21" s="5" t="s">
        <v>38</v>
      </c>
      <c r="G21" s="5" t="s">
        <v>20</v>
      </c>
      <c r="H21" s="4" t="s">
        <v>16</v>
      </c>
      <c r="I21" s="9">
        <v>43</v>
      </c>
    </row>
    <row r="22" spans="1:9" x14ac:dyDescent="0.35">
      <c r="A22" s="2" t="s">
        <v>72</v>
      </c>
      <c r="B22" s="3" t="s">
        <v>73</v>
      </c>
      <c r="C22" s="3" t="s">
        <v>37</v>
      </c>
      <c r="D22" s="2" t="s">
        <v>41</v>
      </c>
      <c r="E22" s="2" t="s">
        <v>24</v>
      </c>
      <c r="F22" s="3" t="s">
        <v>38</v>
      </c>
      <c r="G22" s="3" t="s">
        <v>65</v>
      </c>
      <c r="H22" s="2" t="s">
        <v>31</v>
      </c>
      <c r="I22" s="8">
        <v>19</v>
      </c>
    </row>
    <row r="23" spans="1:9" x14ac:dyDescent="0.35">
      <c r="A23" s="4" t="s">
        <v>74</v>
      </c>
      <c r="B23" s="5" t="s">
        <v>75</v>
      </c>
      <c r="C23" s="5" t="s">
        <v>29</v>
      </c>
      <c r="D23" s="4" t="s">
        <v>12</v>
      </c>
      <c r="E23" s="4" t="s">
        <v>13</v>
      </c>
      <c r="F23" s="5" t="s">
        <v>38</v>
      </c>
      <c r="G23" s="5" t="s">
        <v>52</v>
      </c>
      <c r="H23" s="4" t="s">
        <v>31</v>
      </c>
      <c r="I23" s="9">
        <v>16</v>
      </c>
    </row>
    <row r="24" spans="1:9" x14ac:dyDescent="0.35">
      <c r="A24" s="2" t="s">
        <v>76</v>
      </c>
      <c r="B24" s="3" t="s">
        <v>77</v>
      </c>
      <c r="C24" s="3" t="s">
        <v>34</v>
      </c>
      <c r="D24" s="2" t="s">
        <v>41</v>
      </c>
      <c r="E24" s="2" t="s">
        <v>24</v>
      </c>
      <c r="F24" s="3" t="s">
        <v>14</v>
      </c>
      <c r="G24" s="3" t="s">
        <v>65</v>
      </c>
      <c r="H24" s="2" t="s">
        <v>26</v>
      </c>
      <c r="I24" s="8">
        <v>98</v>
      </c>
    </row>
    <row r="25" spans="1:9" x14ac:dyDescent="0.35">
      <c r="A25" s="4" t="s">
        <v>78</v>
      </c>
      <c r="B25" s="5" t="s">
        <v>79</v>
      </c>
      <c r="C25" s="5" t="s">
        <v>37</v>
      </c>
      <c r="D25" s="4" t="s">
        <v>12</v>
      </c>
      <c r="E25" s="4" t="s">
        <v>24</v>
      </c>
      <c r="F25" s="5" t="s">
        <v>14</v>
      </c>
      <c r="G25" s="5" t="s">
        <v>25</v>
      </c>
      <c r="H25" s="4" t="s">
        <v>16</v>
      </c>
      <c r="I25" s="9">
        <v>63</v>
      </c>
    </row>
    <row r="26" spans="1:9" x14ac:dyDescent="0.35">
      <c r="A26" s="2" t="s">
        <v>80</v>
      </c>
      <c r="B26" s="3" t="s">
        <v>81</v>
      </c>
      <c r="C26" s="3" t="s">
        <v>11</v>
      </c>
      <c r="D26" s="2" t="s">
        <v>41</v>
      </c>
      <c r="E26" s="2" t="s">
        <v>13</v>
      </c>
      <c r="F26" s="3" t="s">
        <v>14</v>
      </c>
      <c r="G26" s="3" t="s">
        <v>20</v>
      </c>
      <c r="H26" s="2" t="s">
        <v>26</v>
      </c>
      <c r="I26" s="8">
        <v>88</v>
      </c>
    </row>
    <row r="27" spans="1:9" x14ac:dyDescent="0.35">
      <c r="A27" s="4" t="s">
        <v>82</v>
      </c>
      <c r="B27" s="5" t="s">
        <v>83</v>
      </c>
      <c r="C27" s="5" t="s">
        <v>34</v>
      </c>
      <c r="D27" s="4" t="s">
        <v>41</v>
      </c>
      <c r="E27" s="4" t="s">
        <v>13</v>
      </c>
      <c r="F27" s="5" t="s">
        <v>19</v>
      </c>
      <c r="G27" s="5" t="s">
        <v>52</v>
      </c>
      <c r="H27" s="4" t="s">
        <v>16</v>
      </c>
      <c r="I27" s="9">
        <v>40</v>
      </c>
    </row>
    <row r="28" spans="1:9" x14ac:dyDescent="0.35">
      <c r="A28" s="2" t="s">
        <v>84</v>
      </c>
      <c r="B28" s="3" t="s">
        <v>85</v>
      </c>
      <c r="C28" s="3" t="s">
        <v>44</v>
      </c>
      <c r="D28" s="2" t="s">
        <v>41</v>
      </c>
      <c r="E28" s="2" t="s">
        <v>24</v>
      </c>
      <c r="F28" s="3" t="s">
        <v>19</v>
      </c>
      <c r="G28" s="3" t="s">
        <v>25</v>
      </c>
      <c r="H28" s="2" t="s">
        <v>31</v>
      </c>
      <c r="I28" s="8">
        <v>18</v>
      </c>
    </row>
    <row r="29" spans="1:9" x14ac:dyDescent="0.35">
      <c r="A29" s="4" t="s">
        <v>86</v>
      </c>
      <c r="B29" s="5" t="s">
        <v>87</v>
      </c>
      <c r="C29" s="5" t="s">
        <v>29</v>
      </c>
      <c r="D29" s="4" t="s">
        <v>12</v>
      </c>
      <c r="E29" s="4" t="s">
        <v>13</v>
      </c>
      <c r="F29" s="5" t="s">
        <v>51</v>
      </c>
      <c r="G29" s="5" t="s">
        <v>15</v>
      </c>
      <c r="H29" s="4" t="s">
        <v>16</v>
      </c>
      <c r="I29" s="9">
        <v>51</v>
      </c>
    </row>
    <row r="30" spans="1:9" x14ac:dyDescent="0.35">
      <c r="A30" s="2" t="s">
        <v>88</v>
      </c>
      <c r="B30" s="3" t="s">
        <v>89</v>
      </c>
      <c r="C30" s="3" t="s">
        <v>44</v>
      </c>
      <c r="D30" s="2" t="s">
        <v>41</v>
      </c>
      <c r="E30" s="2" t="s">
        <v>13</v>
      </c>
      <c r="F30" s="3" t="s">
        <v>51</v>
      </c>
      <c r="G30" s="3" t="s">
        <v>25</v>
      </c>
      <c r="H30" s="2" t="s">
        <v>26</v>
      </c>
      <c r="I30" s="8">
        <v>89</v>
      </c>
    </row>
    <row r="31" spans="1:9" x14ac:dyDescent="0.35">
      <c r="A31" s="4" t="s">
        <v>90</v>
      </c>
      <c r="B31" s="5" t="s">
        <v>91</v>
      </c>
      <c r="C31" s="5" t="s">
        <v>34</v>
      </c>
      <c r="D31" s="4" t="s">
        <v>12</v>
      </c>
      <c r="E31" s="4" t="s">
        <v>13</v>
      </c>
      <c r="F31" s="5" t="s">
        <v>30</v>
      </c>
      <c r="G31" s="5" t="s">
        <v>15</v>
      </c>
      <c r="H31" s="4" t="s">
        <v>31</v>
      </c>
      <c r="I31" s="9">
        <v>19</v>
      </c>
    </row>
    <row r="32" spans="1:9" x14ac:dyDescent="0.35">
      <c r="A32" s="2" t="s">
        <v>92</v>
      </c>
      <c r="B32" s="3" t="s">
        <v>93</v>
      </c>
      <c r="C32" s="3" t="s">
        <v>94</v>
      </c>
      <c r="D32" s="2" t="s">
        <v>41</v>
      </c>
      <c r="E32" s="2" t="s">
        <v>24</v>
      </c>
      <c r="F32" s="3" t="s">
        <v>14</v>
      </c>
      <c r="G32" s="3" t="s">
        <v>20</v>
      </c>
      <c r="H32" s="2" t="s">
        <v>31</v>
      </c>
      <c r="I32" s="8">
        <v>15</v>
      </c>
    </row>
    <row r="33" spans="1:9" x14ac:dyDescent="0.35">
      <c r="A33" s="4" t="s">
        <v>95</v>
      </c>
      <c r="B33" s="5" t="s">
        <v>96</v>
      </c>
      <c r="C33" s="5" t="s">
        <v>44</v>
      </c>
      <c r="D33" s="4" t="s">
        <v>12</v>
      </c>
      <c r="E33" s="4" t="s">
        <v>24</v>
      </c>
      <c r="F33" s="5" t="s">
        <v>14</v>
      </c>
      <c r="G33" s="5" t="s">
        <v>20</v>
      </c>
      <c r="H33" s="4" t="s">
        <v>16</v>
      </c>
      <c r="I33" s="9">
        <v>41</v>
      </c>
    </row>
    <row r="34" spans="1:9" x14ac:dyDescent="0.35">
      <c r="A34" s="2" t="s">
        <v>97</v>
      </c>
      <c r="B34" s="3" t="s">
        <v>98</v>
      </c>
      <c r="C34" s="3" t="s">
        <v>44</v>
      </c>
      <c r="D34" s="2" t="s">
        <v>12</v>
      </c>
      <c r="E34" s="2" t="s">
        <v>13</v>
      </c>
      <c r="F34" s="3" t="s">
        <v>30</v>
      </c>
      <c r="G34" s="3" t="s">
        <v>65</v>
      </c>
      <c r="H34" s="2" t="s">
        <v>31</v>
      </c>
      <c r="I34" s="8">
        <v>23</v>
      </c>
    </row>
    <row r="35" spans="1:9" x14ac:dyDescent="0.35">
      <c r="A35" s="4" t="s">
        <v>99</v>
      </c>
      <c r="B35" s="5" t="s">
        <v>100</v>
      </c>
      <c r="C35" s="5" t="s">
        <v>29</v>
      </c>
      <c r="D35" s="4" t="s">
        <v>41</v>
      </c>
      <c r="E35" s="4" t="s">
        <v>24</v>
      </c>
      <c r="F35" s="5" t="s">
        <v>14</v>
      </c>
      <c r="G35" s="5" t="s">
        <v>25</v>
      </c>
      <c r="H35" s="4" t="s">
        <v>31</v>
      </c>
      <c r="I35" s="9">
        <v>18</v>
      </c>
    </row>
    <row r="36" spans="1:9" x14ac:dyDescent="0.35">
      <c r="A36" s="2" t="s">
        <v>101</v>
      </c>
      <c r="B36" s="3" t="s">
        <v>102</v>
      </c>
      <c r="C36" s="3" t="s">
        <v>29</v>
      </c>
      <c r="D36" s="2" t="s">
        <v>12</v>
      </c>
      <c r="E36" s="2" t="s">
        <v>13</v>
      </c>
      <c r="F36" s="3" t="s">
        <v>38</v>
      </c>
      <c r="G36" s="3" t="s">
        <v>25</v>
      </c>
      <c r="H36" s="2" t="s">
        <v>26</v>
      </c>
      <c r="I36" s="8">
        <v>84</v>
      </c>
    </row>
    <row r="37" spans="1:9" x14ac:dyDescent="0.35">
      <c r="A37" s="4" t="s">
        <v>103</v>
      </c>
      <c r="B37" s="5" t="s">
        <v>104</v>
      </c>
      <c r="C37" s="5" t="s">
        <v>29</v>
      </c>
      <c r="D37" s="4" t="s">
        <v>41</v>
      </c>
      <c r="E37" s="4" t="s">
        <v>24</v>
      </c>
      <c r="F37" s="5" t="s">
        <v>51</v>
      </c>
      <c r="G37" s="5" t="s">
        <v>20</v>
      </c>
      <c r="H37" s="4" t="s">
        <v>16</v>
      </c>
      <c r="I37" s="9">
        <v>40</v>
      </c>
    </row>
    <row r="38" spans="1:9" x14ac:dyDescent="0.35">
      <c r="A38" s="2" t="s">
        <v>105</v>
      </c>
      <c r="B38" s="3" t="s">
        <v>106</v>
      </c>
      <c r="C38" s="3" t="s">
        <v>34</v>
      </c>
      <c r="D38" s="2" t="s">
        <v>12</v>
      </c>
      <c r="E38" s="2" t="s">
        <v>13</v>
      </c>
      <c r="F38" s="3" t="s">
        <v>14</v>
      </c>
      <c r="G38" s="3" t="s">
        <v>65</v>
      </c>
      <c r="H38" s="2" t="s">
        <v>26</v>
      </c>
      <c r="I38" s="8">
        <v>99</v>
      </c>
    </row>
    <row r="39" spans="1:9" x14ac:dyDescent="0.35">
      <c r="A39" s="4" t="s">
        <v>107</v>
      </c>
      <c r="B39" s="5" t="s">
        <v>108</v>
      </c>
      <c r="C39" s="5" t="s">
        <v>37</v>
      </c>
      <c r="D39" s="4" t="s">
        <v>41</v>
      </c>
      <c r="E39" s="4" t="s">
        <v>13</v>
      </c>
      <c r="F39" s="5" t="s">
        <v>51</v>
      </c>
      <c r="G39" s="5" t="s">
        <v>25</v>
      </c>
      <c r="H39" s="4" t="s">
        <v>16</v>
      </c>
      <c r="I39" s="9">
        <v>50</v>
      </c>
    </row>
    <row r="40" spans="1:9" x14ac:dyDescent="0.35">
      <c r="A40" s="2" t="s">
        <v>109</v>
      </c>
      <c r="B40" s="3" t="s">
        <v>110</v>
      </c>
      <c r="C40" s="3" t="s">
        <v>11</v>
      </c>
      <c r="D40" s="2" t="s">
        <v>41</v>
      </c>
      <c r="E40" s="2" t="s">
        <v>24</v>
      </c>
      <c r="F40" s="3" t="s">
        <v>51</v>
      </c>
      <c r="G40" s="3" t="s">
        <v>65</v>
      </c>
      <c r="H40" s="2" t="s">
        <v>26</v>
      </c>
      <c r="I40" s="8">
        <v>81</v>
      </c>
    </row>
    <row r="41" spans="1:9" x14ac:dyDescent="0.35">
      <c r="A41" s="4" t="s">
        <v>111</v>
      </c>
      <c r="B41" s="5" t="s">
        <v>112</v>
      </c>
      <c r="C41" s="5" t="s">
        <v>29</v>
      </c>
      <c r="D41" s="4" t="s">
        <v>12</v>
      </c>
      <c r="E41" s="4" t="s">
        <v>13</v>
      </c>
      <c r="F41" s="5" t="s">
        <v>19</v>
      </c>
      <c r="G41" s="5" t="s">
        <v>25</v>
      </c>
      <c r="H41" s="4" t="s">
        <v>26</v>
      </c>
      <c r="I41" s="9">
        <v>85</v>
      </c>
    </row>
    <row r="42" spans="1:9" x14ac:dyDescent="0.35">
      <c r="A42" s="2" t="s">
        <v>113</v>
      </c>
      <c r="B42" s="3" t="s">
        <v>114</v>
      </c>
      <c r="C42" s="3" t="s">
        <v>37</v>
      </c>
      <c r="D42" s="2" t="s">
        <v>12</v>
      </c>
      <c r="E42" s="2" t="s">
        <v>13</v>
      </c>
      <c r="F42" s="3" t="s">
        <v>30</v>
      </c>
      <c r="G42" s="3" t="s">
        <v>65</v>
      </c>
      <c r="H42" s="2" t="s">
        <v>31</v>
      </c>
      <c r="I42" s="8">
        <v>29</v>
      </c>
    </row>
    <row r="43" spans="1:9" x14ac:dyDescent="0.35">
      <c r="A43" s="4" t="s">
        <v>115</v>
      </c>
      <c r="B43" s="5" t="s">
        <v>116</v>
      </c>
      <c r="C43" s="5" t="s">
        <v>11</v>
      </c>
      <c r="D43" s="4" t="s">
        <v>41</v>
      </c>
      <c r="E43" s="4" t="s">
        <v>24</v>
      </c>
      <c r="F43" s="5" t="s">
        <v>51</v>
      </c>
      <c r="G43" s="5" t="s">
        <v>15</v>
      </c>
      <c r="H43" s="4" t="s">
        <v>31</v>
      </c>
      <c r="I43" s="9">
        <v>25</v>
      </c>
    </row>
    <row r="44" spans="1:9" x14ac:dyDescent="0.35">
      <c r="A44" s="2" t="s">
        <v>117</v>
      </c>
      <c r="B44" s="3" t="s">
        <v>118</v>
      </c>
      <c r="C44" s="3" t="s">
        <v>23</v>
      </c>
      <c r="D44" s="2" t="s">
        <v>12</v>
      </c>
      <c r="E44" s="2" t="s">
        <v>13</v>
      </c>
      <c r="F44" s="3" t="s">
        <v>38</v>
      </c>
      <c r="G44" s="3" t="s">
        <v>65</v>
      </c>
      <c r="H44" s="2" t="s">
        <v>31</v>
      </c>
      <c r="I44" s="8">
        <v>30</v>
      </c>
    </row>
    <row r="45" spans="1:9" x14ac:dyDescent="0.35">
      <c r="A45" s="4" t="s">
        <v>119</v>
      </c>
      <c r="B45" s="5" t="s">
        <v>120</v>
      </c>
      <c r="C45" s="5" t="s">
        <v>44</v>
      </c>
      <c r="D45" s="4" t="s">
        <v>12</v>
      </c>
      <c r="E45" s="4" t="s">
        <v>24</v>
      </c>
      <c r="F45" s="5" t="s">
        <v>30</v>
      </c>
      <c r="G45" s="5" t="s">
        <v>20</v>
      </c>
      <c r="H45" s="4" t="s">
        <v>31</v>
      </c>
      <c r="I45" s="9">
        <v>21</v>
      </c>
    </row>
    <row r="46" spans="1:9" x14ac:dyDescent="0.35">
      <c r="A46" s="2" t="s">
        <v>121</v>
      </c>
      <c r="B46" s="3" t="s">
        <v>122</v>
      </c>
      <c r="C46" s="3" t="s">
        <v>37</v>
      </c>
      <c r="D46" s="2" t="s">
        <v>12</v>
      </c>
      <c r="E46" s="2" t="s">
        <v>24</v>
      </c>
      <c r="F46" s="3" t="s">
        <v>19</v>
      </c>
      <c r="G46" s="3" t="s">
        <v>52</v>
      </c>
      <c r="H46" s="2" t="s">
        <v>26</v>
      </c>
      <c r="I46" s="8">
        <v>87</v>
      </c>
    </row>
    <row r="47" spans="1:9" x14ac:dyDescent="0.35">
      <c r="A47" s="4" t="s">
        <v>123</v>
      </c>
      <c r="B47" s="5" t="s">
        <v>124</v>
      </c>
      <c r="C47" s="5" t="s">
        <v>44</v>
      </c>
      <c r="D47" s="4" t="s">
        <v>41</v>
      </c>
      <c r="E47" s="4" t="s">
        <v>24</v>
      </c>
      <c r="F47" s="5" t="s">
        <v>51</v>
      </c>
      <c r="G47" s="5" t="s">
        <v>52</v>
      </c>
      <c r="H47" s="4" t="s">
        <v>26</v>
      </c>
      <c r="I47" s="9">
        <v>94</v>
      </c>
    </row>
    <row r="48" spans="1:9" x14ac:dyDescent="0.35">
      <c r="A48" s="2" t="s">
        <v>125</v>
      </c>
      <c r="B48" s="3" t="s">
        <v>126</v>
      </c>
      <c r="C48" s="3" t="s">
        <v>23</v>
      </c>
      <c r="D48" s="2" t="s">
        <v>41</v>
      </c>
      <c r="E48" s="2" t="s">
        <v>24</v>
      </c>
      <c r="F48" s="3" t="s">
        <v>51</v>
      </c>
      <c r="G48" s="3" t="s">
        <v>65</v>
      </c>
      <c r="H48" s="2" t="s">
        <v>31</v>
      </c>
      <c r="I48" s="8">
        <v>15</v>
      </c>
    </row>
    <row r="49" spans="1:9" x14ac:dyDescent="0.35">
      <c r="A49" s="4" t="s">
        <v>127</v>
      </c>
      <c r="B49" s="5" t="s">
        <v>128</v>
      </c>
      <c r="C49" s="5" t="s">
        <v>29</v>
      </c>
      <c r="D49" s="4" t="s">
        <v>41</v>
      </c>
      <c r="E49" s="4" t="s">
        <v>24</v>
      </c>
      <c r="F49" s="5" t="s">
        <v>51</v>
      </c>
      <c r="G49" s="5" t="s">
        <v>20</v>
      </c>
      <c r="H49" s="4" t="s">
        <v>26</v>
      </c>
      <c r="I49" s="9">
        <v>82</v>
      </c>
    </row>
    <row r="50" spans="1:9" x14ac:dyDescent="0.35">
      <c r="A50" s="2" t="s">
        <v>129</v>
      </c>
      <c r="B50" s="3" t="s">
        <v>130</v>
      </c>
      <c r="C50" s="3" t="s">
        <v>11</v>
      </c>
      <c r="D50" s="2" t="s">
        <v>41</v>
      </c>
      <c r="E50" s="2" t="s">
        <v>24</v>
      </c>
      <c r="F50" s="3" t="s">
        <v>14</v>
      </c>
      <c r="G50" s="3" t="s">
        <v>15</v>
      </c>
      <c r="H50" s="2" t="s">
        <v>16</v>
      </c>
      <c r="I50" s="8">
        <v>49</v>
      </c>
    </row>
    <row r="51" spans="1:9" x14ac:dyDescent="0.35">
      <c r="A51" s="4" t="s">
        <v>131</v>
      </c>
      <c r="B51" s="5" t="s">
        <v>132</v>
      </c>
      <c r="C51" s="5" t="s">
        <v>11</v>
      </c>
      <c r="D51" s="4" t="s">
        <v>12</v>
      </c>
      <c r="E51" s="4" t="s">
        <v>24</v>
      </c>
      <c r="F51" s="5" t="s">
        <v>30</v>
      </c>
      <c r="G51" s="5" t="s">
        <v>65</v>
      </c>
      <c r="H51" s="4" t="s">
        <v>16</v>
      </c>
      <c r="I51" s="9">
        <v>48</v>
      </c>
    </row>
    <row r="52" spans="1:9" x14ac:dyDescent="0.35">
      <c r="A52" s="2" t="s">
        <v>133</v>
      </c>
      <c r="B52" s="3" t="s">
        <v>134</v>
      </c>
      <c r="C52" s="3" t="s">
        <v>29</v>
      </c>
      <c r="D52" s="2" t="s">
        <v>12</v>
      </c>
      <c r="E52" s="2" t="s">
        <v>24</v>
      </c>
      <c r="F52" s="3" t="s">
        <v>38</v>
      </c>
      <c r="G52" s="3" t="s">
        <v>52</v>
      </c>
      <c r="H52" s="2" t="s">
        <v>31</v>
      </c>
      <c r="I52" s="8">
        <v>30</v>
      </c>
    </row>
    <row r="53" spans="1:9" x14ac:dyDescent="0.35">
      <c r="A53" s="4" t="s">
        <v>135</v>
      </c>
      <c r="B53" s="5" t="s">
        <v>136</v>
      </c>
      <c r="C53" s="5" t="s">
        <v>34</v>
      </c>
      <c r="D53" s="4" t="s">
        <v>12</v>
      </c>
      <c r="E53" s="4" t="s">
        <v>13</v>
      </c>
      <c r="F53" s="5" t="s">
        <v>19</v>
      </c>
      <c r="G53" s="5" t="s">
        <v>20</v>
      </c>
      <c r="H53" s="4" t="s">
        <v>16</v>
      </c>
      <c r="I53" s="9">
        <v>46</v>
      </c>
    </row>
    <row r="54" spans="1:9" x14ac:dyDescent="0.35">
      <c r="A54" s="2" t="s">
        <v>137</v>
      </c>
      <c r="B54" s="3" t="s">
        <v>138</v>
      </c>
      <c r="C54" s="3" t="s">
        <v>29</v>
      </c>
      <c r="D54" s="2" t="s">
        <v>41</v>
      </c>
      <c r="E54" s="2" t="s">
        <v>24</v>
      </c>
      <c r="F54" s="3" t="s">
        <v>19</v>
      </c>
      <c r="G54" s="3" t="s">
        <v>15</v>
      </c>
      <c r="H54" s="2" t="s">
        <v>16</v>
      </c>
      <c r="I54" s="8">
        <v>57</v>
      </c>
    </row>
    <row r="55" spans="1:9" x14ac:dyDescent="0.35">
      <c r="A55" s="4" t="s">
        <v>139</v>
      </c>
      <c r="B55" s="5" t="s">
        <v>140</v>
      </c>
      <c r="C55" s="5" t="s">
        <v>37</v>
      </c>
      <c r="D55" s="4" t="s">
        <v>12</v>
      </c>
      <c r="E55" s="4" t="s">
        <v>24</v>
      </c>
      <c r="F55" s="5" t="s">
        <v>38</v>
      </c>
      <c r="G55" s="5" t="s">
        <v>65</v>
      </c>
      <c r="H55" s="4" t="s">
        <v>31</v>
      </c>
      <c r="I55" s="9">
        <v>25</v>
      </c>
    </row>
    <row r="56" spans="1:9" x14ac:dyDescent="0.35">
      <c r="A56" s="2" t="s">
        <v>141</v>
      </c>
      <c r="B56" s="3" t="s">
        <v>142</v>
      </c>
      <c r="C56" s="3" t="s">
        <v>44</v>
      </c>
      <c r="D56" s="2" t="s">
        <v>12</v>
      </c>
      <c r="E56" s="2" t="s">
        <v>13</v>
      </c>
      <c r="F56" s="3" t="s">
        <v>38</v>
      </c>
      <c r="G56" s="3" t="s">
        <v>52</v>
      </c>
      <c r="H56" s="2" t="s">
        <v>31</v>
      </c>
      <c r="I56" s="8">
        <v>21</v>
      </c>
    </row>
    <row r="57" spans="1:9" x14ac:dyDescent="0.35">
      <c r="A57" s="4" t="s">
        <v>143</v>
      </c>
      <c r="B57" s="5" t="s">
        <v>144</v>
      </c>
      <c r="C57" s="5" t="s">
        <v>11</v>
      </c>
      <c r="D57" s="4" t="s">
        <v>41</v>
      </c>
      <c r="E57" s="4" t="s">
        <v>13</v>
      </c>
      <c r="F57" s="5" t="s">
        <v>51</v>
      </c>
      <c r="G57" s="5" t="s">
        <v>65</v>
      </c>
      <c r="H57" s="4" t="s">
        <v>26</v>
      </c>
      <c r="I57" s="9">
        <v>88</v>
      </c>
    </row>
    <row r="58" spans="1:9" x14ac:dyDescent="0.35">
      <c r="A58" s="2" t="s">
        <v>145</v>
      </c>
      <c r="B58" s="3" t="s">
        <v>146</v>
      </c>
      <c r="C58" s="3" t="s">
        <v>29</v>
      </c>
      <c r="D58" s="2" t="s">
        <v>41</v>
      </c>
      <c r="E58" s="2" t="s">
        <v>24</v>
      </c>
      <c r="F58" s="3" t="s">
        <v>51</v>
      </c>
      <c r="G58" s="3" t="s">
        <v>20</v>
      </c>
      <c r="H58" s="2" t="s">
        <v>26</v>
      </c>
      <c r="I58" s="8">
        <v>85</v>
      </c>
    </row>
    <row r="59" spans="1:9" x14ac:dyDescent="0.35">
      <c r="A59" s="4" t="s">
        <v>147</v>
      </c>
      <c r="B59" s="5" t="s">
        <v>148</v>
      </c>
      <c r="C59" s="5" t="s">
        <v>11</v>
      </c>
      <c r="D59" s="4" t="s">
        <v>12</v>
      </c>
      <c r="E59" s="4" t="s">
        <v>24</v>
      </c>
      <c r="F59" s="5" t="s">
        <v>19</v>
      </c>
      <c r="G59" s="5" t="s">
        <v>52</v>
      </c>
      <c r="H59" s="4" t="s">
        <v>26</v>
      </c>
      <c r="I59" s="9">
        <v>90</v>
      </c>
    </row>
    <row r="60" spans="1:9" x14ac:dyDescent="0.35">
      <c r="A60" s="2" t="s">
        <v>149</v>
      </c>
      <c r="B60" s="3" t="s">
        <v>150</v>
      </c>
      <c r="C60" s="3" t="s">
        <v>11</v>
      </c>
      <c r="D60" s="2" t="s">
        <v>41</v>
      </c>
      <c r="E60" s="2" t="s">
        <v>13</v>
      </c>
      <c r="F60" s="3" t="s">
        <v>19</v>
      </c>
      <c r="G60" s="3" t="s">
        <v>20</v>
      </c>
      <c r="H60" s="2" t="s">
        <v>26</v>
      </c>
      <c r="I60" s="8">
        <v>100</v>
      </c>
    </row>
    <row r="61" spans="1:9" x14ac:dyDescent="0.35">
      <c r="A61" s="4" t="s">
        <v>151</v>
      </c>
      <c r="B61" s="5" t="s">
        <v>152</v>
      </c>
      <c r="C61" s="5" t="s">
        <v>37</v>
      </c>
      <c r="D61" s="4" t="s">
        <v>41</v>
      </c>
      <c r="E61" s="4" t="s">
        <v>24</v>
      </c>
      <c r="F61" s="5" t="s">
        <v>38</v>
      </c>
      <c r="G61" s="5" t="s">
        <v>25</v>
      </c>
      <c r="H61" s="4" t="s">
        <v>16</v>
      </c>
      <c r="I61" s="9">
        <v>44</v>
      </c>
    </row>
    <row r="62" spans="1:9" x14ac:dyDescent="0.35">
      <c r="A62" s="2" t="s">
        <v>153</v>
      </c>
      <c r="B62" s="3" t="s">
        <v>154</v>
      </c>
      <c r="C62" s="3" t="s">
        <v>23</v>
      </c>
      <c r="D62" s="2" t="s">
        <v>12</v>
      </c>
      <c r="E62" s="2" t="s">
        <v>13</v>
      </c>
      <c r="F62" s="3" t="s">
        <v>30</v>
      </c>
      <c r="G62" s="3" t="s">
        <v>52</v>
      </c>
      <c r="H62" s="2" t="s">
        <v>31</v>
      </c>
      <c r="I62" s="8">
        <v>27</v>
      </c>
    </row>
    <row r="63" spans="1:9" x14ac:dyDescent="0.35">
      <c r="A63" s="4" t="s">
        <v>155</v>
      </c>
      <c r="B63" s="5" t="s">
        <v>156</v>
      </c>
      <c r="C63" s="5" t="s">
        <v>44</v>
      </c>
      <c r="D63" s="4" t="s">
        <v>41</v>
      </c>
      <c r="E63" s="4" t="s">
        <v>13</v>
      </c>
      <c r="F63" s="5" t="s">
        <v>38</v>
      </c>
      <c r="G63" s="5" t="s">
        <v>52</v>
      </c>
      <c r="H63" s="4" t="s">
        <v>16</v>
      </c>
      <c r="I63" s="9">
        <v>41</v>
      </c>
    </row>
    <row r="64" spans="1:9" x14ac:dyDescent="0.35">
      <c r="A64" s="2" t="s">
        <v>157</v>
      </c>
      <c r="B64" s="3" t="s">
        <v>158</v>
      </c>
      <c r="C64" s="3" t="s">
        <v>34</v>
      </c>
      <c r="D64" s="2" t="s">
        <v>12</v>
      </c>
      <c r="E64" s="2" t="s">
        <v>13</v>
      </c>
      <c r="F64" s="3" t="s">
        <v>19</v>
      </c>
      <c r="G64" s="3" t="s">
        <v>52</v>
      </c>
      <c r="H64" s="2" t="s">
        <v>26</v>
      </c>
      <c r="I64" s="8">
        <v>92</v>
      </c>
    </row>
    <row r="65" spans="1:9" x14ac:dyDescent="0.35">
      <c r="A65" s="4" t="s">
        <v>159</v>
      </c>
      <c r="B65" s="5" t="s">
        <v>160</v>
      </c>
      <c r="C65" s="5" t="s">
        <v>11</v>
      </c>
      <c r="D65" s="4" t="s">
        <v>12</v>
      </c>
      <c r="E65" s="4" t="s">
        <v>13</v>
      </c>
      <c r="F65" s="5" t="s">
        <v>38</v>
      </c>
      <c r="G65" s="5" t="s">
        <v>52</v>
      </c>
      <c r="H65" s="4" t="s">
        <v>26</v>
      </c>
      <c r="I65" s="9">
        <v>84</v>
      </c>
    </row>
    <row r="66" spans="1:9" x14ac:dyDescent="0.35">
      <c r="A66" s="2" t="s">
        <v>161</v>
      </c>
      <c r="B66" s="3" t="s">
        <v>162</v>
      </c>
      <c r="C66" s="3" t="s">
        <v>11</v>
      </c>
      <c r="D66" s="2" t="s">
        <v>41</v>
      </c>
      <c r="E66" s="2" t="s">
        <v>24</v>
      </c>
      <c r="F66" s="3" t="s">
        <v>51</v>
      </c>
      <c r="G66" s="3" t="s">
        <v>52</v>
      </c>
      <c r="H66" s="2" t="s">
        <v>31</v>
      </c>
      <c r="I66" s="8">
        <v>28</v>
      </c>
    </row>
    <row r="67" spans="1:9" x14ac:dyDescent="0.35">
      <c r="A67" s="4" t="s">
        <v>163</v>
      </c>
      <c r="B67" s="5" t="s">
        <v>164</v>
      </c>
      <c r="C67" s="5" t="s">
        <v>11</v>
      </c>
      <c r="D67" s="4" t="s">
        <v>12</v>
      </c>
      <c r="E67" s="4" t="s">
        <v>13</v>
      </c>
      <c r="F67" s="5" t="s">
        <v>51</v>
      </c>
      <c r="G67" s="5" t="s">
        <v>52</v>
      </c>
      <c r="H67" s="4" t="s">
        <v>26</v>
      </c>
      <c r="I67" s="9">
        <v>87</v>
      </c>
    </row>
    <row r="68" spans="1:9" x14ac:dyDescent="0.35">
      <c r="A68" s="2" t="s">
        <v>165</v>
      </c>
      <c r="B68" s="3" t="s">
        <v>166</v>
      </c>
      <c r="C68" s="3" t="s">
        <v>11</v>
      </c>
      <c r="D68" s="2" t="s">
        <v>41</v>
      </c>
      <c r="E68" s="2" t="s">
        <v>24</v>
      </c>
      <c r="F68" s="3" t="s">
        <v>30</v>
      </c>
      <c r="G68" s="3" t="s">
        <v>15</v>
      </c>
      <c r="H68" s="2" t="s">
        <v>26</v>
      </c>
      <c r="I68" s="8">
        <v>81</v>
      </c>
    </row>
    <row r="69" spans="1:9" x14ac:dyDescent="0.35">
      <c r="A69" s="4" t="s">
        <v>167</v>
      </c>
      <c r="B69" s="5" t="s">
        <v>168</v>
      </c>
      <c r="C69" s="5" t="s">
        <v>94</v>
      </c>
      <c r="D69" s="4" t="s">
        <v>12</v>
      </c>
      <c r="E69" s="4" t="s">
        <v>13</v>
      </c>
      <c r="F69" s="5" t="s">
        <v>30</v>
      </c>
      <c r="G69" s="5" t="s">
        <v>52</v>
      </c>
      <c r="H69" s="4" t="s">
        <v>31</v>
      </c>
      <c r="I69" s="9">
        <v>21</v>
      </c>
    </row>
    <row r="70" spans="1:9" x14ac:dyDescent="0.35">
      <c r="A70" s="2" t="s">
        <v>169</v>
      </c>
      <c r="B70" s="3" t="s">
        <v>170</v>
      </c>
      <c r="C70" s="3" t="s">
        <v>23</v>
      </c>
      <c r="D70" s="2" t="s">
        <v>12</v>
      </c>
      <c r="E70" s="2" t="s">
        <v>24</v>
      </c>
      <c r="F70" s="3" t="s">
        <v>19</v>
      </c>
      <c r="G70" s="3" t="s">
        <v>52</v>
      </c>
      <c r="H70" s="2" t="s">
        <v>16</v>
      </c>
      <c r="I70" s="8">
        <v>58</v>
      </c>
    </row>
    <row r="71" spans="1:9" x14ac:dyDescent="0.35">
      <c r="A71" s="4" t="s">
        <v>171</v>
      </c>
      <c r="B71" s="5" t="s">
        <v>172</v>
      </c>
      <c r="C71" s="5" t="s">
        <v>44</v>
      </c>
      <c r="D71" s="4" t="s">
        <v>41</v>
      </c>
      <c r="E71" s="4" t="s">
        <v>13</v>
      </c>
      <c r="F71" s="5" t="s">
        <v>14</v>
      </c>
      <c r="G71" s="5" t="s">
        <v>52</v>
      </c>
      <c r="H71" s="4" t="s">
        <v>16</v>
      </c>
      <c r="I71" s="9">
        <v>40</v>
      </c>
    </row>
    <row r="72" spans="1:9" x14ac:dyDescent="0.35">
      <c r="A72" s="2" t="s">
        <v>173</v>
      </c>
      <c r="B72" s="3" t="s">
        <v>174</v>
      </c>
      <c r="C72" s="3" t="s">
        <v>29</v>
      </c>
      <c r="D72" s="2" t="s">
        <v>12</v>
      </c>
      <c r="E72" s="2" t="s">
        <v>13</v>
      </c>
      <c r="F72" s="3" t="s">
        <v>51</v>
      </c>
      <c r="G72" s="3" t="s">
        <v>52</v>
      </c>
      <c r="H72" s="2" t="s">
        <v>31</v>
      </c>
      <c r="I72" s="8">
        <v>23</v>
      </c>
    </row>
    <row r="73" spans="1:9" x14ac:dyDescent="0.35">
      <c r="A73" s="4" t="s">
        <v>175</v>
      </c>
      <c r="B73" s="5" t="s">
        <v>176</v>
      </c>
      <c r="C73" s="5" t="s">
        <v>37</v>
      </c>
      <c r="D73" s="4" t="s">
        <v>12</v>
      </c>
      <c r="E73" s="4" t="s">
        <v>13</v>
      </c>
      <c r="F73" s="5" t="s">
        <v>19</v>
      </c>
      <c r="G73" s="5" t="s">
        <v>65</v>
      </c>
      <c r="H73" s="4" t="s">
        <v>31</v>
      </c>
      <c r="I73" s="9">
        <v>19</v>
      </c>
    </row>
    <row r="74" spans="1:9" x14ac:dyDescent="0.35">
      <c r="A74" s="2" t="s">
        <v>177</v>
      </c>
      <c r="B74" s="3" t="s">
        <v>178</v>
      </c>
      <c r="C74" s="3" t="s">
        <v>29</v>
      </c>
      <c r="D74" s="2" t="s">
        <v>12</v>
      </c>
      <c r="E74" s="2" t="s">
        <v>13</v>
      </c>
      <c r="F74" s="3" t="s">
        <v>30</v>
      </c>
      <c r="G74" s="3" t="s">
        <v>52</v>
      </c>
      <c r="H74" s="2" t="s">
        <v>16</v>
      </c>
      <c r="I74" s="8">
        <v>41</v>
      </c>
    </row>
    <row r="75" spans="1:9" x14ac:dyDescent="0.35">
      <c r="A75" s="4" t="s">
        <v>179</v>
      </c>
      <c r="B75" s="5" t="s">
        <v>180</v>
      </c>
      <c r="C75" s="5" t="s">
        <v>37</v>
      </c>
      <c r="D75" s="4" t="s">
        <v>12</v>
      </c>
      <c r="E75" s="4" t="s">
        <v>24</v>
      </c>
      <c r="F75" s="5" t="s">
        <v>19</v>
      </c>
      <c r="G75" s="5" t="s">
        <v>15</v>
      </c>
      <c r="H75" s="4" t="s">
        <v>31</v>
      </c>
      <c r="I75" s="9">
        <v>16</v>
      </c>
    </row>
    <row r="76" spans="1:9" x14ac:dyDescent="0.35">
      <c r="A76" s="2" t="s">
        <v>181</v>
      </c>
      <c r="B76" s="3" t="s">
        <v>182</v>
      </c>
      <c r="C76" s="3" t="s">
        <v>44</v>
      </c>
      <c r="D76" s="2" t="s">
        <v>41</v>
      </c>
      <c r="E76" s="2" t="s">
        <v>13</v>
      </c>
      <c r="F76" s="3" t="s">
        <v>38</v>
      </c>
      <c r="G76" s="3" t="s">
        <v>20</v>
      </c>
      <c r="H76" s="2" t="s">
        <v>31</v>
      </c>
      <c r="I76" s="8">
        <v>20</v>
      </c>
    </row>
    <row r="77" spans="1:9" x14ac:dyDescent="0.35">
      <c r="A77" s="4" t="s">
        <v>183</v>
      </c>
      <c r="B77" s="5" t="s">
        <v>184</v>
      </c>
      <c r="C77" s="5" t="s">
        <v>44</v>
      </c>
      <c r="D77" s="4" t="s">
        <v>12</v>
      </c>
      <c r="E77" s="4" t="s">
        <v>13</v>
      </c>
      <c r="F77" s="5" t="s">
        <v>19</v>
      </c>
      <c r="G77" s="5" t="s">
        <v>52</v>
      </c>
      <c r="H77" s="4" t="s">
        <v>26</v>
      </c>
      <c r="I77" s="9">
        <v>82</v>
      </c>
    </row>
    <row r="78" spans="1:9" x14ac:dyDescent="0.35">
      <c r="A78" s="2" t="s">
        <v>185</v>
      </c>
      <c r="B78" s="3" t="s">
        <v>186</v>
      </c>
      <c r="C78" s="3" t="s">
        <v>23</v>
      </c>
      <c r="D78" s="2" t="s">
        <v>12</v>
      </c>
      <c r="E78" s="2" t="s">
        <v>24</v>
      </c>
      <c r="F78" s="3" t="s">
        <v>19</v>
      </c>
      <c r="G78" s="3" t="s">
        <v>52</v>
      </c>
      <c r="H78" s="2" t="s">
        <v>31</v>
      </c>
      <c r="I78" s="8">
        <v>26</v>
      </c>
    </row>
    <row r="79" spans="1:9" x14ac:dyDescent="0.35">
      <c r="A79" s="4" t="s">
        <v>187</v>
      </c>
      <c r="B79" s="5" t="s">
        <v>188</v>
      </c>
      <c r="C79" s="5" t="s">
        <v>34</v>
      </c>
      <c r="D79" s="4" t="s">
        <v>12</v>
      </c>
      <c r="E79" s="4" t="s">
        <v>13</v>
      </c>
      <c r="F79" s="5" t="s">
        <v>30</v>
      </c>
      <c r="G79" s="5" t="s">
        <v>65</v>
      </c>
      <c r="H79" s="4" t="s">
        <v>16</v>
      </c>
      <c r="I79" s="9">
        <v>52</v>
      </c>
    </row>
    <row r="80" spans="1:9" x14ac:dyDescent="0.35">
      <c r="A80" s="2" t="s">
        <v>189</v>
      </c>
      <c r="B80" s="3" t="s">
        <v>190</v>
      </c>
      <c r="C80" s="3" t="s">
        <v>37</v>
      </c>
      <c r="D80" s="2" t="s">
        <v>41</v>
      </c>
      <c r="E80" s="2" t="s">
        <v>24</v>
      </c>
      <c r="F80" s="3" t="s">
        <v>14</v>
      </c>
      <c r="G80" s="3" t="s">
        <v>20</v>
      </c>
      <c r="H80" s="2" t="s">
        <v>26</v>
      </c>
      <c r="I80" s="8">
        <v>85</v>
      </c>
    </row>
    <row r="81" spans="1:9" x14ac:dyDescent="0.35">
      <c r="A81" s="4" t="s">
        <v>191</v>
      </c>
      <c r="B81" s="5" t="s">
        <v>192</v>
      </c>
      <c r="C81" s="5" t="s">
        <v>29</v>
      </c>
      <c r="D81" s="4" t="s">
        <v>12</v>
      </c>
      <c r="E81" s="4" t="s">
        <v>13</v>
      </c>
      <c r="F81" s="5" t="s">
        <v>19</v>
      </c>
      <c r="G81" s="5" t="s">
        <v>20</v>
      </c>
      <c r="H81" s="4" t="s">
        <v>31</v>
      </c>
      <c r="I81" s="9">
        <v>23</v>
      </c>
    </row>
    <row r="82" spans="1:9" x14ac:dyDescent="0.35">
      <c r="A82" s="2" t="s">
        <v>193</v>
      </c>
      <c r="B82" s="3" t="s">
        <v>194</v>
      </c>
      <c r="C82" s="3" t="s">
        <v>44</v>
      </c>
      <c r="D82" s="2" t="s">
        <v>12</v>
      </c>
      <c r="E82" s="2" t="s">
        <v>13</v>
      </c>
      <c r="F82" s="3" t="s">
        <v>14</v>
      </c>
      <c r="G82" s="3" t="s">
        <v>52</v>
      </c>
      <c r="H82" s="2" t="s">
        <v>26</v>
      </c>
      <c r="I82" s="8">
        <v>80</v>
      </c>
    </row>
    <row r="83" spans="1:9" x14ac:dyDescent="0.35">
      <c r="A83" s="4" t="s">
        <v>195</v>
      </c>
      <c r="B83" s="5" t="s">
        <v>196</v>
      </c>
      <c r="C83" s="5" t="s">
        <v>29</v>
      </c>
      <c r="D83" s="4" t="s">
        <v>41</v>
      </c>
      <c r="E83" s="4" t="s">
        <v>13</v>
      </c>
      <c r="F83" s="5" t="s">
        <v>38</v>
      </c>
      <c r="G83" s="5" t="s">
        <v>15</v>
      </c>
      <c r="H83" s="4" t="s">
        <v>16</v>
      </c>
      <c r="I83" s="9">
        <v>43</v>
      </c>
    </row>
    <row r="84" spans="1:9" x14ac:dyDescent="0.35">
      <c r="A84" s="2" t="s">
        <v>197</v>
      </c>
      <c r="B84" s="3" t="s">
        <v>198</v>
      </c>
      <c r="C84" s="3" t="s">
        <v>37</v>
      </c>
      <c r="D84" s="2" t="s">
        <v>12</v>
      </c>
      <c r="E84" s="2" t="s">
        <v>13</v>
      </c>
      <c r="F84" s="3" t="s">
        <v>38</v>
      </c>
      <c r="G84" s="3" t="s">
        <v>15</v>
      </c>
      <c r="H84" s="2" t="s">
        <v>31</v>
      </c>
      <c r="I84" s="8">
        <v>18</v>
      </c>
    </row>
    <row r="85" spans="1:9" x14ac:dyDescent="0.35">
      <c r="A85" s="4" t="s">
        <v>199</v>
      </c>
      <c r="B85" s="5" t="s">
        <v>200</v>
      </c>
      <c r="C85" s="5" t="s">
        <v>94</v>
      </c>
      <c r="D85" s="4" t="s">
        <v>12</v>
      </c>
      <c r="E85" s="4" t="s">
        <v>13</v>
      </c>
      <c r="F85" s="5" t="s">
        <v>30</v>
      </c>
      <c r="G85" s="5" t="s">
        <v>25</v>
      </c>
      <c r="H85" s="4" t="s">
        <v>16</v>
      </c>
      <c r="I85" s="9">
        <v>60</v>
      </c>
    </row>
    <row r="86" spans="1:9" x14ac:dyDescent="0.35">
      <c r="A86" s="2" t="s">
        <v>201</v>
      </c>
      <c r="B86" s="3" t="s">
        <v>202</v>
      </c>
      <c r="C86" s="3" t="s">
        <v>37</v>
      </c>
      <c r="D86" s="2" t="s">
        <v>41</v>
      </c>
      <c r="E86" s="2" t="s">
        <v>13</v>
      </c>
      <c r="F86" s="3" t="s">
        <v>14</v>
      </c>
      <c r="G86" s="3" t="s">
        <v>15</v>
      </c>
      <c r="H86" s="2" t="s">
        <v>26</v>
      </c>
      <c r="I86" s="8">
        <v>96</v>
      </c>
    </row>
    <row r="87" spans="1:9" x14ac:dyDescent="0.35">
      <c r="A87" s="4" t="s">
        <v>203</v>
      </c>
      <c r="B87" s="5" t="s">
        <v>204</v>
      </c>
      <c r="C87" s="5" t="s">
        <v>44</v>
      </c>
      <c r="D87" s="4" t="s">
        <v>12</v>
      </c>
      <c r="E87" s="4" t="s">
        <v>24</v>
      </c>
      <c r="F87" s="5" t="s">
        <v>51</v>
      </c>
      <c r="G87" s="5" t="s">
        <v>15</v>
      </c>
      <c r="H87" s="4" t="s">
        <v>16</v>
      </c>
      <c r="I87" s="9">
        <v>47</v>
      </c>
    </row>
    <row r="88" spans="1:9" x14ac:dyDescent="0.35">
      <c r="A88" s="2" t="s">
        <v>205</v>
      </c>
      <c r="B88" s="3" t="s">
        <v>206</v>
      </c>
      <c r="C88" s="3" t="s">
        <v>94</v>
      </c>
      <c r="D88" s="2" t="s">
        <v>12</v>
      </c>
      <c r="E88" s="2" t="s">
        <v>13</v>
      </c>
      <c r="F88" s="3" t="s">
        <v>51</v>
      </c>
      <c r="G88" s="3" t="s">
        <v>65</v>
      </c>
      <c r="H88" s="2" t="s">
        <v>26</v>
      </c>
      <c r="I88" s="8">
        <v>98</v>
      </c>
    </row>
    <row r="89" spans="1:9" x14ac:dyDescent="0.35">
      <c r="A89" s="4" t="s">
        <v>207</v>
      </c>
      <c r="B89" s="5" t="s">
        <v>208</v>
      </c>
      <c r="C89" s="5" t="s">
        <v>94</v>
      </c>
      <c r="D89" s="4" t="s">
        <v>41</v>
      </c>
      <c r="E89" s="4" t="s">
        <v>24</v>
      </c>
      <c r="F89" s="5" t="s">
        <v>14</v>
      </c>
      <c r="G89" s="5" t="s">
        <v>20</v>
      </c>
      <c r="H89" s="4" t="s">
        <v>16</v>
      </c>
      <c r="I89" s="9">
        <v>40</v>
      </c>
    </row>
    <row r="90" spans="1:9" x14ac:dyDescent="0.35">
      <c r="A90" s="2" t="s">
        <v>209</v>
      </c>
      <c r="B90" s="3" t="s">
        <v>210</v>
      </c>
      <c r="C90" s="3" t="s">
        <v>34</v>
      </c>
      <c r="D90" s="2" t="s">
        <v>41</v>
      </c>
      <c r="E90" s="2" t="s">
        <v>13</v>
      </c>
      <c r="F90" s="3" t="s">
        <v>51</v>
      </c>
      <c r="G90" s="3" t="s">
        <v>20</v>
      </c>
      <c r="H90" s="2" t="s">
        <v>31</v>
      </c>
      <c r="I90" s="8">
        <v>30</v>
      </c>
    </row>
    <row r="91" spans="1:9" x14ac:dyDescent="0.35">
      <c r="A91" s="4" t="s">
        <v>211</v>
      </c>
      <c r="B91" s="5" t="s">
        <v>212</v>
      </c>
      <c r="C91" s="5" t="s">
        <v>11</v>
      </c>
      <c r="D91" s="4" t="s">
        <v>12</v>
      </c>
      <c r="E91" s="4" t="s">
        <v>24</v>
      </c>
      <c r="F91" s="5" t="s">
        <v>14</v>
      </c>
      <c r="G91" s="5" t="s">
        <v>15</v>
      </c>
      <c r="H91" s="4" t="s">
        <v>26</v>
      </c>
      <c r="I91" s="9">
        <v>86</v>
      </c>
    </row>
    <row r="92" spans="1:9" x14ac:dyDescent="0.35">
      <c r="A92" s="2" t="s">
        <v>213</v>
      </c>
      <c r="B92" s="3" t="s">
        <v>214</v>
      </c>
      <c r="C92" s="3" t="s">
        <v>44</v>
      </c>
      <c r="D92" s="2" t="s">
        <v>12</v>
      </c>
      <c r="E92" s="2" t="s">
        <v>24</v>
      </c>
      <c r="F92" s="3" t="s">
        <v>30</v>
      </c>
      <c r="G92" s="3" t="s">
        <v>15</v>
      </c>
      <c r="H92" s="2" t="s">
        <v>31</v>
      </c>
      <c r="I92" s="8">
        <v>15</v>
      </c>
    </row>
    <row r="93" spans="1:9" x14ac:dyDescent="0.35">
      <c r="A93" s="4" t="s">
        <v>215</v>
      </c>
      <c r="B93" s="5" t="s">
        <v>216</v>
      </c>
      <c r="C93" s="5" t="s">
        <v>94</v>
      </c>
      <c r="D93" s="4" t="s">
        <v>12</v>
      </c>
      <c r="E93" s="4" t="s">
        <v>24</v>
      </c>
      <c r="F93" s="5" t="s">
        <v>19</v>
      </c>
      <c r="G93" s="5" t="s">
        <v>25</v>
      </c>
      <c r="H93" s="4" t="s">
        <v>16</v>
      </c>
      <c r="I93" s="9">
        <v>43</v>
      </c>
    </row>
    <row r="94" spans="1:9" x14ac:dyDescent="0.35">
      <c r="A94" s="2" t="s">
        <v>217</v>
      </c>
      <c r="B94" s="3" t="s">
        <v>218</v>
      </c>
      <c r="C94" s="3" t="s">
        <v>94</v>
      </c>
      <c r="D94" s="2" t="s">
        <v>41</v>
      </c>
      <c r="E94" s="2" t="s">
        <v>24</v>
      </c>
      <c r="F94" s="3" t="s">
        <v>51</v>
      </c>
      <c r="G94" s="3" t="s">
        <v>65</v>
      </c>
      <c r="H94" s="2" t="s">
        <v>26</v>
      </c>
      <c r="I94" s="8">
        <v>87</v>
      </c>
    </row>
    <row r="95" spans="1:9" x14ac:dyDescent="0.35">
      <c r="A95" s="4" t="s">
        <v>219</v>
      </c>
      <c r="B95" s="5" t="s">
        <v>220</v>
      </c>
      <c r="C95" s="5" t="s">
        <v>34</v>
      </c>
      <c r="D95" s="4" t="s">
        <v>12</v>
      </c>
      <c r="E95" s="4" t="s">
        <v>24</v>
      </c>
      <c r="F95" s="5" t="s">
        <v>19</v>
      </c>
      <c r="G95" s="5" t="s">
        <v>20</v>
      </c>
      <c r="H95" s="4" t="s">
        <v>31</v>
      </c>
      <c r="I95" s="9">
        <v>24</v>
      </c>
    </row>
    <row r="96" spans="1:9" x14ac:dyDescent="0.35">
      <c r="A96" s="2" t="s">
        <v>221</v>
      </c>
      <c r="B96" s="3" t="s">
        <v>222</v>
      </c>
      <c r="C96" s="3" t="s">
        <v>11</v>
      </c>
      <c r="D96" s="2" t="s">
        <v>12</v>
      </c>
      <c r="E96" s="2" t="s">
        <v>24</v>
      </c>
      <c r="F96" s="3" t="s">
        <v>51</v>
      </c>
      <c r="G96" s="3" t="s">
        <v>15</v>
      </c>
      <c r="H96" s="2" t="s">
        <v>16</v>
      </c>
      <c r="I96" s="8">
        <v>50</v>
      </c>
    </row>
    <row r="97" spans="1:9" x14ac:dyDescent="0.35">
      <c r="A97" s="4" t="s">
        <v>223</v>
      </c>
      <c r="B97" s="5" t="s">
        <v>224</v>
      </c>
      <c r="C97" s="5" t="s">
        <v>11</v>
      </c>
      <c r="D97" s="4" t="s">
        <v>12</v>
      </c>
      <c r="E97" s="4" t="s">
        <v>13</v>
      </c>
      <c r="F97" s="5" t="s">
        <v>30</v>
      </c>
      <c r="G97" s="5" t="s">
        <v>20</v>
      </c>
      <c r="H97" s="4" t="s">
        <v>31</v>
      </c>
      <c r="I97" s="9">
        <v>28</v>
      </c>
    </row>
    <row r="98" spans="1:9" x14ac:dyDescent="0.35">
      <c r="A98" s="2" t="s">
        <v>225</v>
      </c>
      <c r="B98" s="3" t="s">
        <v>226</v>
      </c>
      <c r="C98" s="3" t="s">
        <v>23</v>
      </c>
      <c r="D98" s="2" t="s">
        <v>41</v>
      </c>
      <c r="E98" s="2" t="s">
        <v>24</v>
      </c>
      <c r="F98" s="3" t="s">
        <v>51</v>
      </c>
      <c r="G98" s="3" t="s">
        <v>25</v>
      </c>
      <c r="H98" s="2" t="s">
        <v>16</v>
      </c>
      <c r="I98" s="8">
        <v>51</v>
      </c>
    </row>
    <row r="99" spans="1:9" x14ac:dyDescent="0.35">
      <c r="A99" s="4" t="s">
        <v>227</v>
      </c>
      <c r="B99" s="5" t="s">
        <v>228</v>
      </c>
      <c r="C99" s="5" t="s">
        <v>37</v>
      </c>
      <c r="D99" s="4" t="s">
        <v>41</v>
      </c>
      <c r="E99" s="4" t="s">
        <v>13</v>
      </c>
      <c r="F99" s="5" t="s">
        <v>19</v>
      </c>
      <c r="G99" s="5" t="s">
        <v>65</v>
      </c>
      <c r="H99" s="4" t="s">
        <v>16</v>
      </c>
      <c r="I99" s="9">
        <v>42</v>
      </c>
    </row>
    <row r="100" spans="1:9" x14ac:dyDescent="0.35">
      <c r="A100" s="2" t="s">
        <v>229</v>
      </c>
      <c r="B100" s="3" t="s">
        <v>230</v>
      </c>
      <c r="C100" s="3" t="s">
        <v>29</v>
      </c>
      <c r="D100" s="2" t="s">
        <v>12</v>
      </c>
      <c r="E100" s="2" t="s">
        <v>24</v>
      </c>
      <c r="F100" s="3" t="s">
        <v>19</v>
      </c>
      <c r="G100" s="3" t="s">
        <v>20</v>
      </c>
      <c r="H100" s="2" t="s">
        <v>26</v>
      </c>
      <c r="I100" s="8">
        <v>90</v>
      </c>
    </row>
    <row r="101" spans="1:9" x14ac:dyDescent="0.35">
      <c r="A101" s="4" t="s">
        <v>231</v>
      </c>
      <c r="B101" s="5" t="s">
        <v>232</v>
      </c>
      <c r="C101" s="5" t="s">
        <v>29</v>
      </c>
      <c r="D101" s="4" t="s">
        <v>41</v>
      </c>
      <c r="E101" s="4" t="s">
        <v>24</v>
      </c>
      <c r="F101" s="5" t="s">
        <v>30</v>
      </c>
      <c r="G101" s="5" t="s">
        <v>52</v>
      </c>
      <c r="H101" s="4" t="s">
        <v>16</v>
      </c>
      <c r="I101" s="9">
        <v>40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4BA3-3F45-415E-9515-7935CE6E46C7}">
  <dimension ref="A2:D24"/>
  <sheetViews>
    <sheetView workbookViewId="0">
      <selection activeCell="D9" sqref="D9"/>
    </sheetView>
  </sheetViews>
  <sheetFormatPr defaultRowHeight="14.5" x14ac:dyDescent="0.35"/>
  <cols>
    <col min="1" max="1" width="15" bestFit="1" customWidth="1"/>
    <col min="2" max="2" width="12.08984375" bestFit="1" customWidth="1"/>
    <col min="4" max="4" width="18.6328125" bestFit="1" customWidth="1"/>
  </cols>
  <sheetData>
    <row r="2" spans="1:4" x14ac:dyDescent="0.35">
      <c r="A2" s="11" t="s">
        <v>233</v>
      </c>
      <c r="B2" t="s">
        <v>235</v>
      </c>
      <c r="D2" t="s">
        <v>236</v>
      </c>
    </row>
    <row r="3" spans="1:4" x14ac:dyDescent="0.35">
      <c r="A3" s="12" t="s">
        <v>11</v>
      </c>
      <c r="B3" s="13">
        <v>1128</v>
      </c>
      <c r="D3" s="6">
        <v>100</v>
      </c>
    </row>
    <row r="4" spans="1:4" x14ac:dyDescent="0.35">
      <c r="A4" s="12" t="s">
        <v>44</v>
      </c>
      <c r="B4" s="13">
        <v>899</v>
      </c>
    </row>
    <row r="5" spans="1:4" x14ac:dyDescent="0.35">
      <c r="A5" s="12" t="s">
        <v>29</v>
      </c>
      <c r="B5" s="13">
        <v>871</v>
      </c>
    </row>
    <row r="6" spans="1:4" x14ac:dyDescent="0.35">
      <c r="A6" s="12" t="s">
        <v>37</v>
      </c>
      <c r="B6" s="13">
        <v>708</v>
      </c>
      <c r="D6" t="s">
        <v>235</v>
      </c>
    </row>
    <row r="7" spans="1:4" x14ac:dyDescent="0.35">
      <c r="A7" s="12" t="s">
        <v>34</v>
      </c>
      <c r="B7" s="13">
        <v>677</v>
      </c>
      <c r="D7" s="13">
        <v>5123</v>
      </c>
    </row>
    <row r="8" spans="1:4" x14ac:dyDescent="0.35">
      <c r="A8" s="12" t="s">
        <v>23</v>
      </c>
      <c r="B8" s="13">
        <v>476</v>
      </c>
    </row>
    <row r="9" spans="1:4" x14ac:dyDescent="0.35">
      <c r="A9" s="12" t="s">
        <v>94</v>
      </c>
      <c r="B9" s="13">
        <v>364</v>
      </c>
    </row>
    <row r="10" spans="1:4" x14ac:dyDescent="0.35">
      <c r="A10" s="12" t="s">
        <v>234</v>
      </c>
      <c r="B10" s="13">
        <v>5123</v>
      </c>
    </row>
    <row r="12" spans="1:4" x14ac:dyDescent="0.35">
      <c r="A12" s="11" t="s">
        <v>233</v>
      </c>
      <c r="B12" t="s">
        <v>236</v>
      </c>
    </row>
    <row r="13" spans="1:4" x14ac:dyDescent="0.35">
      <c r="A13" s="12" t="s">
        <v>25</v>
      </c>
      <c r="B13" s="6">
        <v>18</v>
      </c>
    </row>
    <row r="14" spans="1:4" x14ac:dyDescent="0.35">
      <c r="A14" s="12" t="s">
        <v>20</v>
      </c>
      <c r="B14" s="6">
        <v>21</v>
      </c>
    </row>
    <row r="15" spans="1:4" x14ac:dyDescent="0.35">
      <c r="A15" s="12" t="s">
        <v>15</v>
      </c>
      <c r="B15" s="6">
        <v>21</v>
      </c>
    </row>
    <row r="16" spans="1:4" x14ac:dyDescent="0.35">
      <c r="A16" s="12" t="s">
        <v>52</v>
      </c>
      <c r="B16" s="6">
        <v>23</v>
      </c>
    </row>
    <row r="17" spans="1:2" x14ac:dyDescent="0.35">
      <c r="A17" s="12" t="s">
        <v>65</v>
      </c>
      <c r="B17" s="6">
        <v>17</v>
      </c>
    </row>
    <row r="18" spans="1:2" x14ac:dyDescent="0.35">
      <c r="A18" s="12" t="s">
        <v>234</v>
      </c>
      <c r="B18" s="6">
        <v>100</v>
      </c>
    </row>
    <row r="20" spans="1:2" x14ac:dyDescent="0.35">
      <c r="A20" s="11" t="s">
        <v>233</v>
      </c>
      <c r="B20" t="s">
        <v>236</v>
      </c>
    </row>
    <row r="21" spans="1:2" x14ac:dyDescent="0.35">
      <c r="A21" s="12" t="s">
        <v>26</v>
      </c>
      <c r="B21" s="6">
        <v>32</v>
      </c>
    </row>
    <row r="22" spans="1:2" x14ac:dyDescent="0.35">
      <c r="A22" s="12" t="s">
        <v>16</v>
      </c>
      <c r="B22" s="6">
        <v>31</v>
      </c>
    </row>
    <row r="23" spans="1:2" x14ac:dyDescent="0.35">
      <c r="A23" s="12" t="s">
        <v>31</v>
      </c>
      <c r="B23" s="6">
        <v>37</v>
      </c>
    </row>
    <row r="24" spans="1:2" x14ac:dyDescent="0.35">
      <c r="A24" s="12" t="s">
        <v>234</v>
      </c>
      <c r="B24" s="6">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93DA-92AD-44A8-BBA9-D01F1499D05D}">
  <dimension ref="A1:Z26"/>
  <sheetViews>
    <sheetView showGridLines="0" tabSelected="1" zoomScale="58" workbookViewId="0">
      <selection activeCell="T21" sqref="T21"/>
    </sheetView>
  </sheetViews>
  <sheetFormatPr defaultRowHeight="14.5" x14ac:dyDescent="0.35"/>
  <cols>
    <col min="1" max="16384" width="8.7265625" style="16"/>
  </cols>
  <sheetData>
    <row r="1" spans="1:26" ht="14.5" customHeight="1" x14ac:dyDescent="0.65">
      <c r="A1" s="14"/>
      <c r="B1" s="15"/>
      <c r="C1" s="17" t="s">
        <v>237</v>
      </c>
      <c r="D1" s="17"/>
      <c r="E1" s="17"/>
      <c r="F1" s="17"/>
      <c r="G1" s="17"/>
      <c r="H1" s="17"/>
      <c r="I1" s="17"/>
      <c r="J1" s="17"/>
      <c r="K1" s="17"/>
      <c r="L1" s="17"/>
      <c r="M1" s="17"/>
      <c r="N1" s="17"/>
      <c r="O1" s="17"/>
      <c r="P1" s="17"/>
      <c r="Q1" s="17"/>
      <c r="Z1" s="18">
        <v>100</v>
      </c>
    </row>
    <row r="2" spans="1:26" ht="14.5" customHeight="1" x14ac:dyDescent="0.35">
      <c r="A2" s="15"/>
      <c r="B2" s="15"/>
      <c r="C2" s="17"/>
      <c r="D2" s="17"/>
      <c r="E2" s="17"/>
      <c r="F2" s="17"/>
      <c r="G2" s="17"/>
      <c r="H2" s="17"/>
      <c r="I2" s="17"/>
      <c r="J2" s="17"/>
      <c r="K2" s="17"/>
      <c r="L2" s="17"/>
      <c r="M2" s="17"/>
      <c r="N2" s="17"/>
      <c r="O2" s="17"/>
      <c r="P2" s="17"/>
      <c r="Q2" s="17"/>
      <c r="Z2" s="18">
        <v>5123</v>
      </c>
    </row>
    <row r="3" spans="1:26" ht="14.5" customHeight="1" x14ac:dyDescent="0.35">
      <c r="Z3" s="18">
        <f>IFERROR(Z2/Z1,0)</f>
        <v>51.23</v>
      </c>
    </row>
    <row r="4" spans="1:26" ht="14.5" customHeight="1" x14ac:dyDescent="0.35">
      <c r="Z4" s="18"/>
    </row>
    <row r="5" spans="1:26" ht="14.5" customHeight="1" x14ac:dyDescent="0.35"/>
    <row r="6" spans="1:26" ht="14.5" customHeight="1" x14ac:dyDescent="0.35"/>
    <row r="7" spans="1:26" ht="14.5" customHeight="1" x14ac:dyDescent="0.35">
      <c r="S7" s="19" t="s">
        <v>238</v>
      </c>
      <c r="T7" s="19"/>
      <c r="U7" s="19"/>
      <c r="V7" s="19"/>
      <c r="W7" s="19"/>
      <c r="X7" s="19"/>
      <c r="Y7" s="19"/>
    </row>
    <row r="8" spans="1:26" ht="14.5" customHeight="1" x14ac:dyDescent="0.35">
      <c r="S8" s="19"/>
      <c r="T8" s="19"/>
      <c r="U8" s="19"/>
      <c r="V8" s="19"/>
      <c r="W8" s="19"/>
      <c r="X8" s="19"/>
      <c r="Y8" s="19"/>
    </row>
    <row r="9" spans="1:26" ht="14.5" customHeight="1" x14ac:dyDescent="0.35">
      <c r="S9" s="19"/>
      <c r="T9" s="19"/>
      <c r="U9" s="19"/>
      <c r="V9" s="19"/>
      <c r="W9" s="19"/>
      <c r="X9" s="19"/>
      <c r="Y9" s="19"/>
    </row>
    <row r="10" spans="1:26" ht="14.5" customHeight="1" x14ac:dyDescent="0.35"/>
    <row r="11" spans="1:26" ht="14.5" customHeight="1" x14ac:dyDescent="0.35"/>
    <row r="12" spans="1:26" ht="14.5" customHeight="1" x14ac:dyDescent="0.35"/>
    <row r="13" spans="1:26" ht="14.5" customHeight="1" x14ac:dyDescent="0.35"/>
    <row r="14" spans="1:26" ht="14.5" customHeight="1" x14ac:dyDescent="0.35"/>
    <row r="15" spans="1:26" ht="14.5" customHeight="1" x14ac:dyDescent="0.35"/>
    <row r="16" spans="1:26" ht="14.5" customHeight="1" x14ac:dyDescent="0.35"/>
    <row r="17" ht="14.5" customHeight="1" x14ac:dyDescent="0.35"/>
    <row r="18" ht="14.5" customHeight="1" x14ac:dyDescent="0.35"/>
    <row r="19" ht="14.5" customHeight="1" x14ac:dyDescent="0.35"/>
    <row r="20" ht="14.5" customHeight="1" x14ac:dyDescent="0.35"/>
    <row r="21" ht="14.5" customHeight="1" x14ac:dyDescent="0.35"/>
    <row r="22" ht="14.5" customHeight="1" x14ac:dyDescent="0.35"/>
    <row r="23" ht="14.5" customHeight="1" x14ac:dyDescent="0.35"/>
    <row r="24" ht="14.5" customHeight="1" x14ac:dyDescent="0.35"/>
    <row r="25" ht="14.5" customHeight="1" x14ac:dyDescent="0.35"/>
    <row r="26" ht="14.5" customHeight="1" x14ac:dyDescent="0.35"/>
  </sheetData>
  <mergeCells count="2">
    <mergeCell ref="S7:Y9"/>
    <mergeCell ref="C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Data_Prestasi</vt:lpstr>
      <vt:lpstr>Pivot_Workspace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Octaviani</cp:lastModifiedBy>
  <dcterms:created xsi:type="dcterms:W3CDTF">2026-06-02T09:15:27Z</dcterms:created>
  <dcterms:modified xsi:type="dcterms:W3CDTF">2026-06-03T07:42:54Z</dcterms:modified>
</cp:coreProperties>
</file>